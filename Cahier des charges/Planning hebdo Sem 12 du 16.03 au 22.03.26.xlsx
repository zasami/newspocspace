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COMMUN_2\Soins_Répartition hebdomadaire\Planif.hebdo en cours de prépa\Plannif hebdo\"/>
    </mc:Choice>
  </mc:AlternateContent>
  <xr:revisionPtr revIDLastSave="0" documentId="13_ncr:1_{DF7A8BB0-BE99-43B7-B63E-CA4EC660C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Print_Area" localSheetId="0">Feuil1!$A$1:$W$81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77" i="1"/>
  <c r="E58" i="1"/>
  <c r="E39" i="1"/>
  <c r="E20" i="1"/>
  <c r="E15" i="1"/>
  <c r="E7" i="1"/>
  <c r="T84" i="1"/>
  <c r="T77" i="1"/>
  <c r="T58" i="1"/>
  <c r="T39" i="1"/>
  <c r="T20" i="1"/>
  <c r="T15" i="1"/>
  <c r="T7" i="1"/>
  <c r="Q84" i="1"/>
  <c r="Q77" i="1"/>
  <c r="Q58" i="1"/>
  <c r="Q39" i="1"/>
  <c r="Q20" i="1"/>
  <c r="Q15" i="1"/>
  <c r="Q7" i="1"/>
  <c r="N84" i="1"/>
  <c r="N77" i="1"/>
  <c r="N58" i="1"/>
  <c r="N39" i="1"/>
  <c r="N20" i="1"/>
  <c r="N15" i="1"/>
  <c r="N7" i="1"/>
  <c r="K84" i="1"/>
  <c r="K77" i="1"/>
  <c r="K58" i="1"/>
  <c r="K39" i="1"/>
  <c r="K20" i="1"/>
  <c r="K15" i="1"/>
  <c r="K7" i="1"/>
  <c r="H84" i="1"/>
  <c r="H77" i="1"/>
  <c r="H58" i="1"/>
  <c r="H39" i="1"/>
  <c r="H20" i="1"/>
  <c r="H15" i="1"/>
  <c r="H7" i="1"/>
  <c r="B84" i="1"/>
  <c r="B77" i="1"/>
  <c r="B58" i="1"/>
  <c r="B39" i="1"/>
  <c r="B20" i="1"/>
  <c r="B15" i="1"/>
  <c r="B7" i="1"/>
  <c r="Q1" i="1"/>
</calcChain>
</file>

<file path=xl/sharedStrings.xml><?xml version="1.0" encoding="utf-8"?>
<sst xmlns="http://schemas.openxmlformats.org/spreadsheetml/2006/main" count="768" uniqueCount="155">
  <si>
    <t>Module 1</t>
  </si>
  <si>
    <t>Infirmères</t>
  </si>
  <si>
    <t xml:space="preserve">Horaire </t>
  </si>
  <si>
    <t xml:space="preserve">Etage </t>
  </si>
  <si>
    <t>ASSC</t>
  </si>
  <si>
    <t>AS</t>
  </si>
  <si>
    <t>Module 2</t>
  </si>
  <si>
    <t>Module 3</t>
  </si>
  <si>
    <t>Apprentis</t>
  </si>
  <si>
    <t>Nuit</t>
  </si>
  <si>
    <t>Surveillance CAF</t>
  </si>
  <si>
    <t>Encadrement</t>
  </si>
  <si>
    <t>1-a</t>
  </si>
  <si>
    <t>1-b</t>
  </si>
  <si>
    <t>2-a</t>
  </si>
  <si>
    <t>2-b</t>
  </si>
  <si>
    <t>3-a</t>
  </si>
  <si>
    <t>4-a</t>
  </si>
  <si>
    <t>3-b</t>
  </si>
  <si>
    <t>4-b</t>
  </si>
  <si>
    <t>5-a</t>
  </si>
  <si>
    <t>5-b</t>
  </si>
  <si>
    <t>6-a</t>
  </si>
  <si>
    <t>6-b</t>
  </si>
  <si>
    <t>au</t>
  </si>
  <si>
    <t>Planning hebdomadaire</t>
  </si>
  <si>
    <t>du</t>
  </si>
  <si>
    <t>6213 - 6214</t>
  </si>
  <si>
    <t>6223 - 6224</t>
  </si>
  <si>
    <t>6233 - 3234</t>
  </si>
  <si>
    <t>6243 - 6244</t>
  </si>
  <si>
    <t>6253 - 6254</t>
  </si>
  <si>
    <t>6263 - 6264</t>
  </si>
  <si>
    <t>Civiliste</t>
  </si>
  <si>
    <t>Apprentis  Stagiaire</t>
  </si>
  <si>
    <t>ASE / Anim</t>
  </si>
  <si>
    <t>9h - 18h</t>
  </si>
  <si>
    <t>Formation HPCI</t>
  </si>
  <si>
    <t>Module 4</t>
  </si>
  <si>
    <t>Responsable des soins</t>
  </si>
  <si>
    <t>RS / RUVs</t>
  </si>
  <si>
    <t>RUVs</t>
  </si>
  <si>
    <t>Marceline - 6222</t>
  </si>
  <si>
    <t>Manon - 6242</t>
  </si>
  <si>
    <t>TERRAIN</t>
  </si>
  <si>
    <t>ADMIN</t>
  </si>
  <si>
    <t>Anne-Gaëlle - 6296</t>
  </si>
  <si>
    <t>A6</t>
  </si>
  <si>
    <t>9h - 17h30</t>
  </si>
  <si>
    <t>PIQUET</t>
  </si>
  <si>
    <t>LEGENDE :</t>
  </si>
  <si>
    <t>INDICATIONS</t>
  </si>
  <si>
    <t>HORAIRES</t>
  </si>
  <si>
    <t>CIM</t>
  </si>
  <si>
    <t>12h - 13h</t>
  </si>
  <si>
    <t>14h - 14h30</t>
  </si>
  <si>
    <t>Inf. Reponsable</t>
  </si>
  <si>
    <t>7h - 20h30</t>
  </si>
  <si>
    <t>Nettoyage Station Lavage</t>
  </si>
  <si>
    <t>Selon orga</t>
  </si>
  <si>
    <t>GT Soins Palliatifs</t>
  </si>
  <si>
    <t>14h - 16h30</t>
  </si>
  <si>
    <t>Selon PEP</t>
  </si>
  <si>
    <t>Parcours de marche</t>
  </si>
  <si>
    <t>D3</t>
  </si>
  <si>
    <t>S4</t>
  </si>
  <si>
    <t>A2</t>
  </si>
  <si>
    <t>D1</t>
  </si>
  <si>
    <t>POOL</t>
  </si>
  <si>
    <t>8h - 17h</t>
  </si>
  <si>
    <t>RUV / Inf</t>
  </si>
  <si>
    <t>A3</t>
  </si>
  <si>
    <t>8h - 16h30</t>
  </si>
  <si>
    <t>Maria</t>
  </si>
  <si>
    <t>Juana</t>
  </si>
  <si>
    <t>Fatou</t>
  </si>
  <si>
    <t>D4</t>
  </si>
  <si>
    <t>Frida</t>
  </si>
  <si>
    <t>Gisèle</t>
  </si>
  <si>
    <t>A1</t>
  </si>
  <si>
    <t>Cécilia</t>
  </si>
  <si>
    <t>Soraya</t>
  </si>
  <si>
    <t>Roman</t>
  </si>
  <si>
    <t>Raphael</t>
  </si>
  <si>
    <t>Sonam</t>
  </si>
  <si>
    <t>Massarangue</t>
  </si>
  <si>
    <t>Sana</t>
  </si>
  <si>
    <t>Moisés</t>
  </si>
  <si>
    <t>Solenn</t>
  </si>
  <si>
    <t>Emma</t>
  </si>
  <si>
    <t>Lily</t>
  </si>
  <si>
    <t>Régine</t>
  </si>
  <si>
    <t>Allegresse</t>
  </si>
  <si>
    <t>Sandra</t>
  </si>
  <si>
    <t>Lina</t>
  </si>
  <si>
    <t>Sandrine Big.</t>
  </si>
  <si>
    <t>Anaïs</t>
  </si>
  <si>
    <t>Fatoumata</t>
  </si>
  <si>
    <t>Sandrine Bir.</t>
  </si>
  <si>
    <t>Sandrine Bir. (ERGOMOT)</t>
  </si>
  <si>
    <t>Cyril</t>
  </si>
  <si>
    <t>Joseph</t>
  </si>
  <si>
    <t>Gilgy</t>
  </si>
  <si>
    <t>Virginie</t>
  </si>
  <si>
    <t>Virginie LT</t>
  </si>
  <si>
    <t>Diana</t>
  </si>
  <si>
    <t>Frédéric</t>
  </si>
  <si>
    <t>Pélagie</t>
  </si>
  <si>
    <t>Isabel</t>
  </si>
  <si>
    <t>Dounia</t>
  </si>
  <si>
    <t>Yamina</t>
  </si>
  <si>
    <t>Almaz</t>
  </si>
  <si>
    <t>Solomon</t>
  </si>
  <si>
    <t>Marceline</t>
  </si>
  <si>
    <t>7h - 15h30</t>
  </si>
  <si>
    <t>Manon</t>
  </si>
  <si>
    <t>Val</t>
  </si>
  <si>
    <t>Antoinette</t>
  </si>
  <si>
    <t>Marie</t>
  </si>
  <si>
    <t>Sandrine</t>
  </si>
  <si>
    <t>Elisa</t>
  </si>
  <si>
    <t>Latifa</t>
  </si>
  <si>
    <t>Oumy</t>
  </si>
  <si>
    <t>Laura</t>
  </si>
  <si>
    <t>Liliana</t>
  </si>
  <si>
    <t>Elodie</t>
  </si>
  <si>
    <t>Daniela</t>
  </si>
  <si>
    <t>Daisy</t>
  </si>
  <si>
    <t>Marion</t>
  </si>
  <si>
    <t>Gwenaëlle</t>
  </si>
  <si>
    <t>Corinne (7h - 11h)</t>
  </si>
  <si>
    <t>Corinne</t>
  </si>
  <si>
    <t>Elisabete</t>
  </si>
  <si>
    <t>Alain</t>
  </si>
  <si>
    <t>Michaël</t>
  </si>
  <si>
    <t>Antigona</t>
  </si>
  <si>
    <t>Sami</t>
  </si>
  <si>
    <t>Mitchelle</t>
  </si>
  <si>
    <t>Klimka</t>
  </si>
  <si>
    <t>Cédric</t>
  </si>
  <si>
    <t>Angelyn</t>
  </si>
  <si>
    <t>Diego</t>
  </si>
  <si>
    <t>Valérie Séance BLS 14h-16h</t>
  </si>
  <si>
    <t>Alain Séance BLS 14h-16h</t>
  </si>
  <si>
    <t>Isabel (petit bistro 11h30)</t>
  </si>
  <si>
    <t>S3</t>
  </si>
  <si>
    <t xml:space="preserve">Solenn </t>
  </si>
  <si>
    <t>Oumy (A1 ?)</t>
  </si>
  <si>
    <t>Rencontre 3 mois - M. NACHEF 15h</t>
  </si>
  <si>
    <t>Giuliano</t>
  </si>
  <si>
    <t>Arno</t>
  </si>
  <si>
    <t>Yasmina interim (12h - 20h30)</t>
  </si>
  <si>
    <t>Avec Bérengère jour obs</t>
  </si>
  <si>
    <t>Marion + Céline jour obs 8h-14h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</si>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</sst>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u/>
      <sz val="18"/>
      <color rgb="FF00B05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8"/>
      <color rgb="FFFF339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8B0C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D5D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6F2FC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auto="1"/>
      </right>
      <top style="thin">
        <color indexed="64"/>
      </top>
      <bottom/>
      <diagonal/>
    </border>
    <border>
      <left style="medium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2" fillId="0" borderId="0" xfId="0" applyFont="1"/>
    <xf numFmtId="0" fontId="2" fillId="0" borderId="24" xfId="0" applyFont="1" applyBorder="1"/>
    <xf numFmtId="0" fontId="3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" fillId="2" borderId="8" xfId="0" applyFont="1" applyFill="1" applyBorder="1"/>
    <xf numFmtId="0" fontId="0" fillId="0" borderId="0" xfId="0" applyAlignment="1">
      <alignment horizontal="center"/>
    </xf>
    <xf numFmtId="0" fontId="0" fillId="3" borderId="0" xfId="0" applyFill="1"/>
    <xf numFmtId="0" fontId="1" fillId="5" borderId="0" xfId="0" applyFont="1" applyFill="1"/>
    <xf numFmtId="0" fontId="0" fillId="7" borderId="0" xfId="0" applyFill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6" fillId="4" borderId="3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164" fontId="3" fillId="13" borderId="36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0" xfId="0" applyFont="1"/>
    <xf numFmtId="0" fontId="8" fillId="15" borderId="35" xfId="0" applyFont="1" applyFill="1" applyBorder="1" applyAlignment="1">
      <alignment horizontal="center" vertical="center"/>
    </xf>
    <xf numFmtId="164" fontId="6" fillId="15" borderId="36" xfId="0" applyNumberFormat="1" applyFont="1" applyFill="1" applyBorder="1" applyAlignment="1">
      <alignment horizontal="center" vertical="center"/>
    </xf>
    <xf numFmtId="0" fontId="2" fillId="15" borderId="36" xfId="0" applyFont="1" applyFill="1" applyBorder="1" applyAlignment="1">
      <alignment textRotation="45"/>
    </xf>
    <xf numFmtId="0" fontId="2" fillId="15" borderId="45" xfId="0" applyFont="1" applyFill="1" applyBorder="1" applyAlignment="1">
      <alignment textRotation="45"/>
    </xf>
    <xf numFmtId="0" fontId="3" fillId="0" borderId="26" xfId="0" applyFont="1" applyBorder="1" applyAlignment="1">
      <alignment vertical="center"/>
    </xf>
    <xf numFmtId="0" fontId="3" fillId="0" borderId="1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64" fontId="6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textRotation="45"/>
    </xf>
    <xf numFmtId="0" fontId="2" fillId="2" borderId="45" xfId="0" applyFont="1" applyFill="1" applyBorder="1" applyAlignment="1">
      <alignment textRotation="45"/>
    </xf>
    <xf numFmtId="0" fontId="3" fillId="0" borderId="17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2" fillId="10" borderId="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32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2" xfId="0" applyFont="1" applyFill="1" applyBorder="1" applyAlignment="1">
      <alignment horizontal="left" vertical="center"/>
    </xf>
    <xf numFmtId="164" fontId="6" fillId="3" borderId="4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textRotation="45"/>
    </xf>
    <xf numFmtId="164" fontId="6" fillId="3" borderId="43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9" xfId="0" applyFont="1" applyBorder="1"/>
    <xf numFmtId="0" fontId="12" fillId="0" borderId="14" xfId="0" applyFont="1" applyBorder="1"/>
    <xf numFmtId="0" fontId="3" fillId="0" borderId="14" xfId="0" applyFont="1" applyBorder="1"/>
    <xf numFmtId="0" fontId="12" fillId="0" borderId="24" xfId="0" applyFont="1" applyBorder="1"/>
    <xf numFmtId="0" fontId="12" fillId="0" borderId="26" xfId="0" applyFont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0" fontId="12" fillId="10" borderId="10" xfId="0" applyFont="1" applyFill="1" applyBorder="1"/>
    <xf numFmtId="0" fontId="3" fillId="6" borderId="28" xfId="0" applyFont="1" applyFill="1" applyBorder="1" applyAlignment="1">
      <alignment horizontal="left" vertical="center"/>
    </xf>
    <xf numFmtId="0" fontId="3" fillId="6" borderId="41" xfId="0" applyFont="1" applyFill="1" applyBorder="1" applyAlignment="1">
      <alignment horizontal="left" vertical="center"/>
    </xf>
    <xf numFmtId="164" fontId="6" fillId="16" borderId="5" xfId="0" applyNumberFormat="1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textRotation="45"/>
    </xf>
    <xf numFmtId="0" fontId="2" fillId="16" borderId="6" xfId="0" applyFont="1" applyFill="1" applyBorder="1" applyAlignment="1">
      <alignment textRotation="45"/>
    </xf>
    <xf numFmtId="0" fontId="2" fillId="16" borderId="44" xfId="0" applyFont="1" applyFill="1" applyBorder="1" applyAlignment="1">
      <alignment textRotation="45"/>
    </xf>
    <xf numFmtId="0" fontId="3" fillId="0" borderId="26" xfId="0" applyFont="1" applyBorder="1"/>
    <xf numFmtId="0" fontId="3" fillId="0" borderId="20" xfId="0" applyFont="1" applyBorder="1"/>
    <xf numFmtId="0" fontId="3" fillId="0" borderId="18" xfId="0" applyFont="1" applyBorder="1"/>
    <xf numFmtId="0" fontId="3" fillId="0" borderId="32" xfId="0" applyFont="1" applyBorder="1"/>
    <xf numFmtId="0" fontId="3" fillId="0" borderId="16" xfId="0" applyFont="1" applyBorder="1"/>
    <xf numFmtId="0" fontId="3" fillId="6" borderId="16" xfId="0" applyFont="1" applyFill="1" applyBorder="1"/>
    <xf numFmtId="0" fontId="3" fillId="6" borderId="14" xfId="0" applyFont="1" applyFill="1" applyBorder="1"/>
    <xf numFmtId="0" fontId="3" fillId="0" borderId="0" xfId="0" applyFont="1"/>
    <xf numFmtId="164" fontId="6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textRotation="45"/>
    </xf>
    <xf numFmtId="0" fontId="2" fillId="5" borderId="6" xfId="0" applyFont="1" applyFill="1" applyBorder="1" applyAlignment="1">
      <alignment textRotation="45"/>
    </xf>
    <xf numFmtId="0" fontId="2" fillId="5" borderId="44" xfId="0" applyFont="1" applyFill="1" applyBorder="1" applyAlignment="1">
      <alignment textRotation="45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164" fontId="6" fillId="7" borderId="23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textRotation="45"/>
    </xf>
    <xf numFmtId="164" fontId="6" fillId="7" borderId="7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9" xfId="0" applyFont="1" applyBorder="1"/>
    <xf numFmtId="0" fontId="1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8" fillId="17" borderId="49" xfId="0" applyFont="1" applyFill="1" applyBorder="1" applyAlignment="1">
      <alignment vertical="center"/>
    </xf>
    <xf numFmtId="0" fontId="8" fillId="7" borderId="50" xfId="0" applyFont="1" applyFill="1" applyBorder="1" applyAlignment="1">
      <alignment vertical="center"/>
    </xf>
    <xf numFmtId="0" fontId="8" fillId="9" borderId="49" xfId="0" applyFont="1" applyFill="1" applyBorder="1" applyAlignment="1">
      <alignment vertical="center"/>
    </xf>
    <xf numFmtId="0" fontId="8" fillId="14" borderId="50" xfId="0" applyFont="1" applyFill="1" applyBorder="1" applyAlignment="1">
      <alignment vertical="center"/>
    </xf>
    <xf numFmtId="0" fontId="8" fillId="8" borderId="49" xfId="0" applyFont="1" applyFill="1" applyBorder="1" applyAlignment="1">
      <alignment vertical="center"/>
    </xf>
    <xf numFmtId="0" fontId="8" fillId="12" borderId="50" xfId="0" applyFont="1" applyFill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8" fillId="11" borderId="49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/>
    <xf numFmtId="0" fontId="3" fillId="10" borderId="1" xfId="0" applyFont="1" applyFill="1" applyBorder="1"/>
    <xf numFmtId="0" fontId="3" fillId="0" borderId="9" xfId="0" applyFont="1" applyBorder="1"/>
    <xf numFmtId="0" fontId="3" fillId="0" borderId="0" xfId="0" applyFont="1" applyAlignment="1">
      <alignment vertical="center" wrapText="1"/>
    </xf>
    <xf numFmtId="0" fontId="3" fillId="6" borderId="9" xfId="0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/>
    <xf numFmtId="0" fontId="3" fillId="0" borderId="54" xfId="0" applyFont="1" applyBorder="1" applyAlignment="1">
      <alignment horizontal="center" vertical="center" wrapText="1"/>
    </xf>
    <xf numFmtId="0" fontId="3" fillId="0" borderId="34" xfId="0" applyFont="1" applyBorder="1"/>
    <xf numFmtId="0" fontId="3" fillId="0" borderId="55" xfId="0" applyFont="1" applyBorder="1"/>
    <xf numFmtId="0" fontId="3" fillId="0" borderId="21" xfId="0" applyFont="1" applyBorder="1"/>
    <xf numFmtId="0" fontId="3" fillId="0" borderId="1" xfId="0" applyFont="1" applyBorder="1"/>
    <xf numFmtId="0" fontId="3" fillId="0" borderId="3" xfId="0" applyFont="1" applyBorder="1"/>
    <xf numFmtId="0" fontId="6" fillId="7" borderId="38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16" borderId="39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2" fillId="0" borderId="26" xfId="0" applyFont="1" applyBorder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2" fillId="0" borderId="28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21" xfId="0" applyFont="1" applyBorder="1"/>
    <xf numFmtId="0" fontId="12" fillId="0" borderId="11" xfId="0" applyFont="1" applyBorder="1"/>
    <xf numFmtId="0" fontId="12" fillId="0" borderId="18" xfId="0" applyFont="1" applyBorder="1"/>
    <xf numFmtId="0" fontId="12" fillId="0" borderId="9" xfId="0" applyFont="1" applyBorder="1"/>
    <xf numFmtId="16" fontId="12" fillId="0" borderId="1" xfId="0" applyNumberFormat="1" applyFont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20" xfId="0" applyFont="1" applyBorder="1"/>
    <xf numFmtId="0" fontId="3" fillId="0" borderId="12" xfId="0" applyFont="1" applyBorder="1"/>
    <xf numFmtId="0" fontId="3" fillId="0" borderId="1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5" xfId="0" applyFont="1" applyBorder="1"/>
    <xf numFmtId="0" fontId="3" fillId="0" borderId="33" xfId="0" applyFont="1" applyBorder="1"/>
    <xf numFmtId="0" fontId="3" fillId="0" borderId="24" xfId="0" applyFont="1" applyBorder="1"/>
    <xf numFmtId="0" fontId="8" fillId="0" borderId="50" xfId="0" applyFont="1" applyBorder="1" applyAlignment="1">
      <alignment vertical="center"/>
    </xf>
    <xf numFmtId="0" fontId="3" fillId="11" borderId="16" xfId="0" applyFont="1" applyFill="1" applyBorder="1" applyAlignment="1">
      <alignment horizontal="left" vertical="center"/>
    </xf>
    <xf numFmtId="164" fontId="6" fillId="3" borderId="26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left" vertical="center"/>
    </xf>
    <xf numFmtId="0" fontId="12" fillId="8" borderId="18" xfId="0" applyFont="1" applyFill="1" applyBorder="1"/>
    <xf numFmtId="0" fontId="3" fillId="8" borderId="16" xfId="0" applyFont="1" applyFill="1" applyBorder="1"/>
    <xf numFmtId="0" fontId="3" fillId="8" borderId="17" xfId="0" applyFont="1" applyFill="1" applyBorder="1" applyAlignment="1">
      <alignment horizontal="left" vertical="center"/>
    </xf>
    <xf numFmtId="0" fontId="3" fillId="17" borderId="19" xfId="0" applyFont="1" applyFill="1" applyBorder="1" applyAlignment="1">
      <alignment horizontal="left" vertical="center"/>
    </xf>
    <xf numFmtId="0" fontId="3" fillId="17" borderId="0" xfId="0" applyFont="1" applyFill="1"/>
    <xf numFmtId="0" fontId="12" fillId="17" borderId="0" xfId="0" applyFont="1" applyFill="1"/>
    <xf numFmtId="0" fontId="3" fillId="17" borderId="12" xfId="0" applyFont="1" applyFill="1" applyBorder="1" applyAlignment="1">
      <alignment horizontal="left" vertical="center"/>
    </xf>
    <xf numFmtId="0" fontId="12" fillId="17" borderId="26" xfId="0" applyFont="1" applyFill="1" applyBorder="1"/>
    <xf numFmtId="0" fontId="3" fillId="17" borderId="0" xfId="0" applyFont="1" applyFill="1" applyAlignment="1">
      <alignment horizontal="left" vertical="center"/>
    </xf>
    <xf numFmtId="0" fontId="3" fillId="17" borderId="14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center" vertical="center"/>
    </xf>
    <xf numFmtId="0" fontId="3" fillId="7" borderId="26" xfId="0" applyFont="1" applyFill="1" applyBorder="1"/>
    <xf numFmtId="0" fontId="12" fillId="7" borderId="10" xfId="0" applyFont="1" applyFill="1" applyBorder="1"/>
    <xf numFmtId="0" fontId="3" fillId="12" borderId="14" xfId="0" applyFont="1" applyFill="1" applyBorder="1" applyAlignment="1">
      <alignment horizontal="left" vertical="center"/>
    </xf>
    <xf numFmtId="0" fontId="12" fillId="12" borderId="16" xfId="0" applyFont="1" applyFill="1" applyBorder="1"/>
    <xf numFmtId="0" fontId="3" fillId="6" borderId="19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left" vertical="center"/>
    </xf>
    <xf numFmtId="0" fontId="3" fillId="6" borderId="21" xfId="0" applyFont="1" applyFill="1" applyBorder="1" applyAlignment="1">
      <alignment horizontal="left" vertical="center"/>
    </xf>
    <xf numFmtId="0" fontId="3" fillId="18" borderId="17" xfId="0" applyFont="1" applyFill="1" applyBorder="1" applyAlignment="1">
      <alignment horizontal="left" vertical="center"/>
    </xf>
    <xf numFmtId="0" fontId="3" fillId="6" borderId="19" xfId="0" applyFont="1" applyFill="1" applyBorder="1"/>
    <xf numFmtId="0" fontId="11" fillId="6" borderId="33" xfId="0" applyFont="1" applyFill="1" applyBorder="1"/>
    <xf numFmtId="0" fontId="3" fillId="6" borderId="15" xfId="0" applyFont="1" applyFill="1" applyBorder="1"/>
    <xf numFmtId="0" fontId="12" fillId="11" borderId="0" xfId="0" applyFont="1" applyFill="1"/>
    <xf numFmtId="0" fontId="12" fillId="11" borderId="21" xfId="0" applyFont="1" applyFill="1" applyBorder="1"/>
    <xf numFmtId="0" fontId="12" fillId="0" borderId="12" xfId="0" applyFont="1" applyBorder="1"/>
    <xf numFmtId="0" fontId="12" fillId="11" borderId="16" xfId="0" applyFont="1" applyFill="1" applyBorder="1"/>
    <xf numFmtId="0" fontId="3" fillId="12" borderId="11" xfId="0" applyFont="1" applyFill="1" applyBorder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1" borderId="12" xfId="0" applyFont="1" applyFill="1" applyBorder="1"/>
    <xf numFmtId="0" fontId="3" fillId="11" borderId="33" xfId="0" applyFont="1" applyFill="1" applyBorder="1"/>
    <xf numFmtId="0" fontId="17" fillId="17" borderId="26" xfId="0" applyFont="1" applyFill="1" applyBorder="1"/>
    <xf numFmtId="0" fontId="3" fillId="11" borderId="26" xfId="0" applyFont="1" applyFill="1" applyBorder="1"/>
    <xf numFmtId="0" fontId="12" fillId="17" borderId="10" xfId="0" applyFont="1" applyFill="1" applyBorder="1"/>
    <xf numFmtId="0" fontId="3" fillId="6" borderId="19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" fillId="13" borderId="47" xfId="0" applyFont="1" applyFill="1" applyBorder="1" applyAlignment="1">
      <alignment horizontal="center" textRotation="45"/>
    </xf>
    <xf numFmtId="0" fontId="2" fillId="13" borderId="48" xfId="0" applyFont="1" applyFill="1" applyBorder="1" applyAlignment="1">
      <alignment horizontal="center" textRotation="45"/>
    </xf>
    <xf numFmtId="0" fontId="3" fillId="0" borderId="3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F2FC"/>
      <color rgb="FFFD5D5D"/>
      <color rgb="FFD8B0CB"/>
      <color rgb="FF5CE7FA"/>
      <color rgb="FFFF3399"/>
      <color rgb="FFFF66CC"/>
      <color rgb="FFFFD9FF"/>
      <color rgb="FFFFCCFF"/>
      <color rgb="FFF4B9F5"/>
      <color rgb="FFF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8"/>
  <sheetViews>
    <sheetView tabSelected="1" topLeftCell="A39" zoomScale="50" zoomScaleNormal="50" workbookViewId="0">
      <selection activeCell="K63" sqref="K63"/>
    </sheetView>
  </sheetViews>
  <sheetFormatPr baseColWidth="10" defaultRowHeight="14.4" x14ac:dyDescent="0.3"/>
  <cols>
    <col min="1" max="1" width="23.77734375" customWidth="1"/>
    <col min="2" max="2" width="50.77734375" customWidth="1"/>
    <col min="3" max="3" width="5.44140625" customWidth="1"/>
    <col min="4" max="4" width="11.109375" customWidth="1"/>
    <col min="5" max="5" width="50.77734375" customWidth="1"/>
    <col min="6" max="6" width="5.44140625" customWidth="1"/>
    <col min="7" max="7" width="11.33203125" customWidth="1"/>
    <col min="8" max="8" width="50.77734375" customWidth="1"/>
    <col min="9" max="9" width="5.44140625" customWidth="1"/>
    <col min="10" max="10" width="11.33203125" customWidth="1"/>
    <col min="11" max="11" width="50.77734375" customWidth="1"/>
    <col min="12" max="12" width="5.44140625" customWidth="1"/>
    <col min="13" max="13" width="10.88671875" customWidth="1"/>
    <col min="14" max="14" width="50.77734375" customWidth="1"/>
    <col min="15" max="15" width="5.44140625" customWidth="1"/>
    <col min="16" max="16" width="11" customWidth="1"/>
    <col min="17" max="17" width="50.77734375" customWidth="1"/>
    <col min="18" max="18" width="5.44140625" customWidth="1"/>
    <col min="19" max="19" width="9.109375" customWidth="1"/>
    <col min="20" max="20" width="50.77734375" customWidth="1"/>
    <col min="21" max="21" width="5.44140625" customWidth="1"/>
    <col min="22" max="22" width="10.44140625" customWidth="1"/>
    <col min="23" max="23" width="0.5546875" hidden="1" customWidth="1"/>
    <col min="24" max="24" width="22.6640625" customWidth="1"/>
    <col min="25" max="25" width="22.44140625" customWidth="1"/>
    <col min="26" max="26" width="19.88671875" customWidth="1"/>
  </cols>
  <sheetData>
    <row r="1" spans="1:25" ht="30" customHeight="1" thickBot="1" x14ac:dyDescent="0.35">
      <c r="A1" s="208"/>
      <c r="B1" s="209"/>
      <c r="C1" s="218" t="s">
        <v>25</v>
      </c>
      <c r="D1" s="219"/>
      <c r="E1" s="219"/>
      <c r="F1" s="219"/>
      <c r="G1" s="219"/>
      <c r="H1" s="219"/>
      <c r="I1" s="219"/>
      <c r="J1" s="219"/>
      <c r="K1" s="219"/>
      <c r="L1" s="220" t="s">
        <v>26</v>
      </c>
      <c r="M1" s="220"/>
      <c r="N1" s="16">
        <v>46097</v>
      </c>
      <c r="O1" s="220" t="s">
        <v>24</v>
      </c>
      <c r="P1" s="220"/>
      <c r="Q1" s="16">
        <f>(N1)+6</f>
        <v>46103</v>
      </c>
      <c r="R1" s="4"/>
      <c r="S1" s="4"/>
      <c r="T1" s="5"/>
    </row>
    <row r="2" spans="1:25" ht="26.25" customHeight="1" thickBot="1" x14ac:dyDescent="0.35">
      <c r="A2" s="15"/>
      <c r="B2" s="15"/>
      <c r="C2" s="3"/>
      <c r="D2" s="3"/>
      <c r="E2" s="15"/>
      <c r="F2" s="14"/>
      <c r="G2" s="3"/>
      <c r="I2" s="3"/>
      <c r="J2" s="3"/>
      <c r="L2" s="3"/>
      <c r="M2" s="3"/>
      <c r="N2" s="3"/>
      <c r="O2" s="3"/>
      <c r="P2" s="3"/>
      <c r="Q2" s="3"/>
      <c r="R2" s="3"/>
      <c r="S2" s="3"/>
      <c r="T2" s="3"/>
    </row>
    <row r="3" spans="1:25" ht="25.05" customHeight="1" thickBot="1" x14ac:dyDescent="0.35">
      <c r="A3" s="15"/>
      <c r="B3" s="95" t="s">
        <v>51</v>
      </c>
      <c r="C3" s="186" t="s">
        <v>52</v>
      </c>
      <c r="D3" s="186"/>
      <c r="E3" s="95" t="s">
        <v>51</v>
      </c>
      <c r="F3" s="186" t="s">
        <v>52</v>
      </c>
      <c r="G3" s="186"/>
      <c r="H3" s="95" t="s">
        <v>51</v>
      </c>
      <c r="I3" s="186" t="s">
        <v>52</v>
      </c>
      <c r="J3" s="186"/>
      <c r="K3" s="95" t="s">
        <v>51</v>
      </c>
      <c r="L3" s="187" t="s">
        <v>52</v>
      </c>
      <c r="M3" s="188"/>
      <c r="N3" s="95" t="s">
        <v>51</v>
      </c>
      <c r="O3" s="187" t="s">
        <v>52</v>
      </c>
      <c r="P3" s="188"/>
      <c r="Q3" s="3"/>
      <c r="R3" s="3"/>
      <c r="S3" s="3"/>
    </row>
    <row r="4" spans="1:25" ht="25.05" customHeight="1" thickBot="1" x14ac:dyDescent="0.35">
      <c r="A4" s="197" t="s">
        <v>50</v>
      </c>
      <c r="B4" s="96" t="s">
        <v>56</v>
      </c>
      <c r="C4" s="203" t="s">
        <v>57</v>
      </c>
      <c r="D4" s="203"/>
      <c r="E4" s="97" t="s">
        <v>53</v>
      </c>
      <c r="F4" s="202" t="s">
        <v>55</v>
      </c>
      <c r="G4" s="202"/>
      <c r="H4" s="102" t="s">
        <v>58</v>
      </c>
      <c r="I4" s="203" t="s">
        <v>61</v>
      </c>
      <c r="J4" s="203"/>
      <c r="K4" s="98" t="s">
        <v>11</v>
      </c>
      <c r="L4" s="204" t="s">
        <v>62</v>
      </c>
      <c r="M4" s="205"/>
      <c r="N4" s="145"/>
      <c r="O4" s="206"/>
      <c r="P4" s="207"/>
      <c r="Q4" s="3"/>
      <c r="R4" s="3"/>
      <c r="S4" s="3"/>
    </row>
    <row r="5" spans="1:25" ht="25.05" customHeight="1" thickBot="1" x14ac:dyDescent="0.5">
      <c r="A5" s="199"/>
      <c r="B5" s="100" t="s">
        <v>10</v>
      </c>
      <c r="C5" s="203" t="s">
        <v>54</v>
      </c>
      <c r="D5" s="203"/>
      <c r="E5" s="101" t="s">
        <v>63</v>
      </c>
      <c r="F5" s="202" t="s">
        <v>59</v>
      </c>
      <c r="G5" s="202"/>
      <c r="H5" s="99" t="s">
        <v>37</v>
      </c>
      <c r="I5" s="206" t="s">
        <v>59</v>
      </c>
      <c r="J5" s="207"/>
      <c r="K5" s="103" t="s">
        <v>60</v>
      </c>
      <c r="L5" s="204" t="s">
        <v>61</v>
      </c>
      <c r="M5" s="205"/>
      <c r="N5" s="27"/>
      <c r="O5" s="3"/>
      <c r="P5" s="3"/>
      <c r="Q5" s="3"/>
      <c r="R5" s="3"/>
      <c r="S5" s="3"/>
    </row>
    <row r="6" spans="1:25" ht="18.600000000000001" customHeight="1" thickBot="1" x14ac:dyDescent="0.35"/>
    <row r="7" spans="1:25" ht="38.25" customHeight="1" thickBot="1" x14ac:dyDescent="0.35">
      <c r="A7" s="19" t="s">
        <v>40</v>
      </c>
      <c r="B7" s="20">
        <f>(N1)</f>
        <v>46097</v>
      </c>
      <c r="C7" s="189" t="s">
        <v>2</v>
      </c>
      <c r="D7" s="190"/>
      <c r="E7" s="20">
        <f>(N1)+1</f>
        <v>46098</v>
      </c>
      <c r="F7" s="189" t="s">
        <v>2</v>
      </c>
      <c r="G7" s="190"/>
      <c r="H7" s="20">
        <f>(N1)+2</f>
        <v>46099</v>
      </c>
      <c r="I7" s="189" t="s">
        <v>2</v>
      </c>
      <c r="J7" s="190"/>
      <c r="K7" s="20">
        <f>(N1)+3</f>
        <v>46100</v>
      </c>
      <c r="L7" s="189" t="s">
        <v>2</v>
      </c>
      <c r="M7" s="190"/>
      <c r="N7" s="20">
        <f>(N1)+4</f>
        <v>46101</v>
      </c>
      <c r="O7" s="189" t="s">
        <v>2</v>
      </c>
      <c r="P7" s="190"/>
      <c r="Q7" s="20">
        <f>(N1)+5</f>
        <v>46102</v>
      </c>
      <c r="R7" s="189" t="s">
        <v>2</v>
      </c>
      <c r="S7" s="190"/>
      <c r="T7" s="20">
        <f>(N1)+6</f>
        <v>46103</v>
      </c>
      <c r="U7" s="189" t="s">
        <v>2</v>
      </c>
      <c r="V7" s="190"/>
    </row>
    <row r="8" spans="1:25" ht="22.05" customHeight="1" x14ac:dyDescent="0.3">
      <c r="A8" s="212" t="s">
        <v>39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4"/>
      <c r="Q8" s="197" t="s">
        <v>115</v>
      </c>
      <c r="R8" s="191" t="s">
        <v>49</v>
      </c>
      <c r="S8" s="192"/>
      <c r="T8" s="197" t="s">
        <v>115</v>
      </c>
      <c r="U8" s="191" t="s">
        <v>49</v>
      </c>
      <c r="V8" s="192"/>
    </row>
    <row r="9" spans="1:25" ht="22.05" customHeight="1" thickBot="1" x14ac:dyDescent="0.35">
      <c r="A9" s="200" t="s">
        <v>46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01"/>
      <c r="Q9" s="198"/>
      <c r="R9" s="193"/>
      <c r="S9" s="194"/>
      <c r="T9" s="198"/>
      <c r="U9" s="193"/>
      <c r="V9" s="194"/>
    </row>
    <row r="10" spans="1:25" ht="22.05" customHeight="1" x14ac:dyDescent="0.3">
      <c r="A10" s="210" t="s">
        <v>41</v>
      </c>
      <c r="B10" s="22" t="s">
        <v>44</v>
      </c>
      <c r="C10" s="191" t="s">
        <v>79</v>
      </c>
      <c r="D10" s="192"/>
      <c r="E10" s="22" t="s">
        <v>44</v>
      </c>
      <c r="F10" s="191" t="s">
        <v>71</v>
      </c>
      <c r="G10" s="192"/>
      <c r="H10" s="22" t="s">
        <v>44</v>
      </c>
      <c r="I10" s="191" t="s">
        <v>71</v>
      </c>
      <c r="J10" s="192"/>
      <c r="K10" s="22" t="s">
        <v>44</v>
      </c>
      <c r="L10" s="191" t="s">
        <v>71</v>
      </c>
      <c r="M10" s="192"/>
      <c r="N10" s="22" t="s">
        <v>44</v>
      </c>
      <c r="O10" s="191" t="s">
        <v>79</v>
      </c>
      <c r="P10" s="192"/>
      <c r="Q10" s="198"/>
      <c r="R10" s="193"/>
      <c r="S10" s="194"/>
      <c r="T10" s="198"/>
      <c r="U10" s="193"/>
      <c r="V10" s="194"/>
    </row>
    <row r="11" spans="1:25" ht="22.05" customHeight="1" thickBot="1" x14ac:dyDescent="0.35">
      <c r="A11" s="211"/>
      <c r="B11" s="23" t="s">
        <v>113</v>
      </c>
      <c r="C11" s="200" t="s">
        <v>114</v>
      </c>
      <c r="D11" s="201"/>
      <c r="E11" s="23" t="s">
        <v>115</v>
      </c>
      <c r="F11" s="200" t="s">
        <v>72</v>
      </c>
      <c r="G11" s="201"/>
      <c r="H11" s="23" t="s">
        <v>113</v>
      </c>
      <c r="I11" s="200" t="s">
        <v>72</v>
      </c>
      <c r="J11" s="201"/>
      <c r="K11" s="23" t="s">
        <v>115</v>
      </c>
      <c r="L11" s="200" t="s">
        <v>72</v>
      </c>
      <c r="M11" s="201"/>
      <c r="N11" s="23" t="s">
        <v>113</v>
      </c>
      <c r="O11" s="200" t="s">
        <v>114</v>
      </c>
      <c r="P11" s="201"/>
      <c r="Q11" s="198"/>
      <c r="R11" s="193"/>
      <c r="S11" s="194"/>
      <c r="T11" s="198"/>
      <c r="U11" s="193"/>
      <c r="V11" s="194"/>
    </row>
    <row r="12" spans="1:25" ht="22.05" customHeight="1" x14ac:dyDescent="0.3">
      <c r="A12" s="24" t="s">
        <v>42</v>
      </c>
      <c r="B12" s="25" t="s">
        <v>45</v>
      </c>
      <c r="C12" s="191" t="s">
        <v>47</v>
      </c>
      <c r="D12" s="192"/>
      <c r="E12" s="25" t="s">
        <v>45</v>
      </c>
      <c r="F12" s="191" t="s">
        <v>47</v>
      </c>
      <c r="G12" s="192"/>
      <c r="H12" s="25" t="s">
        <v>45</v>
      </c>
      <c r="I12" s="191" t="s">
        <v>47</v>
      </c>
      <c r="J12" s="192"/>
      <c r="K12" s="25" t="s">
        <v>45</v>
      </c>
      <c r="L12" s="191" t="s">
        <v>47</v>
      </c>
      <c r="M12" s="192"/>
      <c r="N12" s="25" t="s">
        <v>45</v>
      </c>
      <c r="O12" s="191" t="s">
        <v>47</v>
      </c>
      <c r="P12" s="192"/>
      <c r="Q12" s="198"/>
      <c r="R12" s="193"/>
      <c r="S12" s="194"/>
      <c r="T12" s="198"/>
      <c r="U12" s="193"/>
      <c r="V12" s="194"/>
    </row>
    <row r="13" spans="1:25" ht="22.05" customHeight="1" thickBot="1" x14ac:dyDescent="0.35">
      <c r="A13" s="26" t="s">
        <v>43</v>
      </c>
      <c r="B13" s="23" t="s">
        <v>115</v>
      </c>
      <c r="C13" s="200" t="s">
        <v>48</v>
      </c>
      <c r="D13" s="201"/>
      <c r="E13" s="23" t="s">
        <v>113</v>
      </c>
      <c r="F13" s="200" t="s">
        <v>48</v>
      </c>
      <c r="G13" s="201"/>
      <c r="H13" s="23" t="s">
        <v>115</v>
      </c>
      <c r="I13" s="200" t="s">
        <v>48</v>
      </c>
      <c r="J13" s="201"/>
      <c r="K13" s="23" t="s">
        <v>113</v>
      </c>
      <c r="L13" s="200" t="s">
        <v>48</v>
      </c>
      <c r="M13" s="201"/>
      <c r="N13" s="23" t="s">
        <v>115</v>
      </c>
      <c r="O13" s="200" t="s">
        <v>48</v>
      </c>
      <c r="P13" s="201"/>
      <c r="Q13" s="199"/>
      <c r="R13" s="195"/>
      <c r="S13" s="196"/>
      <c r="T13" s="199"/>
      <c r="U13" s="195"/>
      <c r="V13" s="196"/>
    </row>
    <row r="14" spans="1:25" ht="9" customHeight="1" thickBot="1" x14ac:dyDescent="0.4">
      <c r="A14" s="2"/>
      <c r="R14" s="7"/>
      <c r="S14" s="7"/>
    </row>
    <row r="15" spans="1:25" ht="38.25" customHeight="1" thickBot="1" x14ac:dyDescent="0.35">
      <c r="A15" s="28" t="s">
        <v>68</v>
      </c>
      <c r="B15" s="29">
        <f>(N1)</f>
        <v>46097</v>
      </c>
      <c r="C15" s="30" t="s">
        <v>2</v>
      </c>
      <c r="D15" s="31" t="s">
        <v>3</v>
      </c>
      <c r="E15" s="29">
        <f>(N1)+1</f>
        <v>46098</v>
      </c>
      <c r="F15" s="30" t="s">
        <v>2</v>
      </c>
      <c r="G15" s="30" t="s">
        <v>3</v>
      </c>
      <c r="H15" s="29">
        <f>(N1)+2</f>
        <v>46099</v>
      </c>
      <c r="I15" s="30" t="s">
        <v>2</v>
      </c>
      <c r="J15" s="30" t="s">
        <v>3</v>
      </c>
      <c r="K15" s="29">
        <f>(N1)+3</f>
        <v>46100</v>
      </c>
      <c r="L15" s="30" t="s">
        <v>2</v>
      </c>
      <c r="M15" s="31" t="s">
        <v>3</v>
      </c>
      <c r="N15" s="29">
        <f>(N1)+4</f>
        <v>46101</v>
      </c>
      <c r="O15" s="30" t="s">
        <v>2</v>
      </c>
      <c r="P15" s="31" t="s">
        <v>3</v>
      </c>
      <c r="Q15" s="29">
        <f>(N1)+5</f>
        <v>46102</v>
      </c>
      <c r="R15" s="30" t="s">
        <v>2</v>
      </c>
      <c r="S15" s="31" t="s">
        <v>3</v>
      </c>
      <c r="T15" s="29">
        <f>(N1)+6</f>
        <v>46103</v>
      </c>
      <c r="U15" s="30" t="s">
        <v>2</v>
      </c>
      <c r="V15" s="31" t="s">
        <v>3</v>
      </c>
      <c r="W15" s="6"/>
      <c r="X15" s="13"/>
      <c r="Y15" s="13"/>
    </row>
    <row r="16" spans="1:25" ht="19.5" customHeight="1" thickBot="1" x14ac:dyDescent="0.4">
      <c r="A16" s="32"/>
      <c r="B16" s="33" t="s">
        <v>130</v>
      </c>
      <c r="C16" s="34" t="s">
        <v>79</v>
      </c>
      <c r="D16" s="35"/>
      <c r="E16" s="36"/>
      <c r="F16" s="34"/>
      <c r="G16" s="34"/>
      <c r="H16" s="36"/>
      <c r="I16" s="34"/>
      <c r="J16" s="34"/>
      <c r="K16" s="36" t="s">
        <v>108</v>
      </c>
      <c r="L16" s="34" t="s">
        <v>67</v>
      </c>
      <c r="M16" s="34"/>
      <c r="N16" s="164" t="s">
        <v>99</v>
      </c>
      <c r="O16" s="34" t="s">
        <v>79</v>
      </c>
      <c r="P16" s="34"/>
      <c r="Q16" s="36"/>
      <c r="R16" s="34"/>
      <c r="S16" s="34"/>
      <c r="T16" s="36"/>
      <c r="U16" s="34"/>
      <c r="V16" s="37"/>
      <c r="W16" s="1"/>
      <c r="X16" s="11"/>
    </row>
    <row r="17" spans="1:25" ht="19.5" customHeight="1" thickBot="1" x14ac:dyDescent="0.4">
      <c r="A17" s="38"/>
      <c r="B17" s="39"/>
      <c r="C17" s="34"/>
      <c r="D17" s="35"/>
      <c r="E17" s="39"/>
      <c r="F17" s="34"/>
      <c r="G17" s="34"/>
      <c r="H17" s="39"/>
      <c r="I17" s="34"/>
      <c r="J17" s="34"/>
      <c r="K17" s="40"/>
      <c r="L17" s="34"/>
      <c r="M17" s="34"/>
      <c r="N17" s="40"/>
      <c r="O17" s="34"/>
      <c r="P17" s="34"/>
      <c r="Q17" s="41"/>
      <c r="R17" s="34"/>
      <c r="S17" s="34"/>
      <c r="T17" s="40"/>
      <c r="U17" s="34"/>
      <c r="V17" s="37"/>
      <c r="W17" s="1"/>
      <c r="X17" s="11"/>
    </row>
    <row r="18" spans="1:25" ht="24" thickBot="1" x14ac:dyDescent="0.4">
      <c r="A18" s="26"/>
      <c r="B18" s="42"/>
      <c r="C18" s="34"/>
      <c r="D18" s="35"/>
      <c r="E18" s="42"/>
      <c r="F18" s="34"/>
      <c r="G18" s="34"/>
      <c r="H18" s="42"/>
      <c r="I18" s="34"/>
      <c r="J18" s="34"/>
      <c r="K18" s="42"/>
      <c r="L18" s="34"/>
      <c r="M18" s="34"/>
      <c r="N18" s="42"/>
      <c r="O18" s="34"/>
      <c r="P18" s="34"/>
      <c r="Q18" s="42"/>
      <c r="R18" s="34"/>
      <c r="S18" s="34"/>
      <c r="T18" s="42"/>
      <c r="U18" s="34"/>
      <c r="V18" s="37"/>
      <c r="W18" s="1"/>
      <c r="X18" s="11"/>
    </row>
    <row r="19" spans="1:25" ht="9" customHeight="1" thickBot="1" x14ac:dyDescent="0.4">
      <c r="A19" s="2"/>
      <c r="R19" s="7"/>
      <c r="S19" s="7"/>
    </row>
    <row r="20" spans="1:25" ht="38.25" customHeight="1" thickBot="1" x14ac:dyDescent="0.35">
      <c r="A20" s="122" t="s">
        <v>0</v>
      </c>
      <c r="B20" s="43">
        <f>(N1)</f>
        <v>46097</v>
      </c>
      <c r="C20" s="44" t="s">
        <v>2</v>
      </c>
      <c r="D20" s="44" t="s">
        <v>3</v>
      </c>
      <c r="E20" s="43">
        <f>(N1)+1</f>
        <v>46098</v>
      </c>
      <c r="F20" s="44" t="s">
        <v>2</v>
      </c>
      <c r="G20" s="44" t="s">
        <v>3</v>
      </c>
      <c r="H20" s="43">
        <f>(N1)+2</f>
        <v>46099</v>
      </c>
      <c r="I20" s="44" t="s">
        <v>2</v>
      </c>
      <c r="J20" s="44" t="s">
        <v>3</v>
      </c>
      <c r="K20" s="43">
        <f>(N1)+3</f>
        <v>46100</v>
      </c>
      <c r="L20" s="44" t="s">
        <v>2</v>
      </c>
      <c r="M20" s="44" t="s">
        <v>3</v>
      </c>
      <c r="N20" s="43">
        <f>(N1)+4</f>
        <v>46101</v>
      </c>
      <c r="O20" s="44" t="s">
        <v>2</v>
      </c>
      <c r="P20" s="44" t="s">
        <v>3</v>
      </c>
      <c r="Q20" s="43">
        <f>(N1)+5</f>
        <v>46102</v>
      </c>
      <c r="R20" s="44" t="s">
        <v>2</v>
      </c>
      <c r="S20" s="44" t="s">
        <v>3</v>
      </c>
      <c r="T20" s="43">
        <f>(N1)+6</f>
        <v>46103</v>
      </c>
      <c r="U20" s="44" t="s">
        <v>2</v>
      </c>
      <c r="V20" s="45" t="s">
        <v>3</v>
      </c>
      <c r="W20" s="6"/>
      <c r="X20" s="13"/>
      <c r="Y20" s="13"/>
    </row>
    <row r="21" spans="1:25" s="27" customFormat="1" ht="22.05" customHeight="1" thickBot="1" x14ac:dyDescent="0.5">
      <c r="A21" s="197" t="s">
        <v>1</v>
      </c>
      <c r="B21" s="152" t="s">
        <v>117</v>
      </c>
      <c r="C21" s="34" t="s">
        <v>67</v>
      </c>
      <c r="D21" s="35"/>
      <c r="E21" s="152" t="s">
        <v>117</v>
      </c>
      <c r="F21" s="159" t="s">
        <v>67</v>
      </c>
      <c r="G21" s="34"/>
      <c r="H21" s="36" t="s">
        <v>119</v>
      </c>
      <c r="I21" s="34" t="s">
        <v>67</v>
      </c>
      <c r="J21" s="34"/>
      <c r="K21" s="160" t="s">
        <v>119</v>
      </c>
      <c r="L21" s="34" t="s">
        <v>64</v>
      </c>
      <c r="M21" s="34"/>
      <c r="N21" s="33" t="s">
        <v>117</v>
      </c>
      <c r="O21" s="34" t="s">
        <v>79</v>
      </c>
      <c r="P21" s="34"/>
      <c r="Q21" s="158" t="s">
        <v>119</v>
      </c>
      <c r="R21" s="60" t="s">
        <v>79</v>
      </c>
      <c r="S21" s="34"/>
      <c r="T21" s="158" t="s">
        <v>119</v>
      </c>
      <c r="U21" s="60" t="s">
        <v>79</v>
      </c>
      <c r="V21" s="37"/>
      <c r="W21" s="81"/>
      <c r="X21" s="41"/>
      <c r="Y21" s="228"/>
    </row>
    <row r="22" spans="1:25" s="27" customFormat="1" ht="22.05" customHeight="1" thickBot="1" x14ac:dyDescent="0.5">
      <c r="A22" s="198"/>
      <c r="B22" s="39"/>
      <c r="C22" s="34"/>
      <c r="D22" s="35"/>
      <c r="E22" s="40"/>
      <c r="F22" s="34"/>
      <c r="G22" s="34"/>
      <c r="H22" s="155" t="s">
        <v>118</v>
      </c>
      <c r="I22" s="34" t="s">
        <v>65</v>
      </c>
      <c r="J22" s="34"/>
      <c r="K22" s="40"/>
      <c r="L22" s="34"/>
      <c r="M22" s="34"/>
      <c r="N22" s="40" t="s">
        <v>118</v>
      </c>
      <c r="O22" s="34" t="s">
        <v>65</v>
      </c>
      <c r="P22" s="34"/>
      <c r="Q22" s="157" t="s">
        <v>117</v>
      </c>
      <c r="R22" s="34" t="s">
        <v>65</v>
      </c>
      <c r="S22" s="34"/>
      <c r="T22" s="157" t="s">
        <v>117</v>
      </c>
      <c r="U22" s="34" t="s">
        <v>65</v>
      </c>
      <c r="V22" s="37"/>
      <c r="W22" s="81"/>
      <c r="X22" s="41"/>
      <c r="Y22" s="228"/>
    </row>
    <row r="23" spans="1:25" s="27" customFormat="1" ht="22.05" customHeight="1" thickBot="1" x14ac:dyDescent="0.5">
      <c r="A23" s="24">
        <v>6212</v>
      </c>
      <c r="B23" s="42"/>
      <c r="C23" s="34"/>
      <c r="D23" s="35"/>
      <c r="E23" s="42"/>
      <c r="F23" s="34"/>
      <c r="G23" s="34"/>
      <c r="H23" s="41"/>
      <c r="I23" s="34"/>
      <c r="J23" s="34"/>
      <c r="K23" s="42"/>
      <c r="L23" s="34"/>
      <c r="M23" s="34"/>
      <c r="N23" s="41"/>
      <c r="O23" s="34"/>
      <c r="P23" s="34"/>
      <c r="Q23" s="42"/>
      <c r="R23" s="34"/>
      <c r="S23" s="34"/>
      <c r="T23" s="41"/>
      <c r="U23" s="34"/>
      <c r="V23" s="37"/>
      <c r="W23" s="81"/>
      <c r="X23" s="41"/>
      <c r="Y23" s="228"/>
    </row>
    <row r="24" spans="1:25" s="27" customFormat="1" ht="22.05" customHeight="1" thickBot="1" x14ac:dyDescent="0.5">
      <c r="A24" s="17" t="s">
        <v>4</v>
      </c>
      <c r="B24" s="41" t="s">
        <v>122</v>
      </c>
      <c r="C24" s="34" t="s">
        <v>79</v>
      </c>
      <c r="D24" s="124"/>
      <c r="E24" s="178" t="s">
        <v>147</v>
      </c>
      <c r="F24" s="34" t="s">
        <v>65</v>
      </c>
      <c r="G24" s="34"/>
      <c r="H24" s="125" t="s">
        <v>120</v>
      </c>
      <c r="I24" s="34" t="s">
        <v>64</v>
      </c>
      <c r="J24" s="34"/>
      <c r="K24" s="125" t="s">
        <v>120</v>
      </c>
      <c r="L24" s="34" t="s">
        <v>67</v>
      </c>
      <c r="M24" s="34"/>
      <c r="N24" s="125" t="s">
        <v>120</v>
      </c>
      <c r="O24" s="34" t="s">
        <v>64</v>
      </c>
      <c r="P24" s="34"/>
      <c r="Q24" s="41" t="s">
        <v>121</v>
      </c>
      <c r="R24" s="34" t="s">
        <v>64</v>
      </c>
      <c r="S24" s="34"/>
      <c r="T24" s="125" t="s">
        <v>121</v>
      </c>
      <c r="U24" s="34" t="s">
        <v>64</v>
      </c>
      <c r="V24" s="37"/>
      <c r="W24" s="81"/>
      <c r="X24" s="104"/>
      <c r="Y24" s="228"/>
    </row>
    <row r="25" spans="1:25" s="27" customFormat="1" ht="22.05" customHeight="1" thickBot="1" x14ac:dyDescent="0.5">
      <c r="A25" s="26">
        <v>6215</v>
      </c>
      <c r="B25" s="126" t="s">
        <v>121</v>
      </c>
      <c r="C25" s="34" t="s">
        <v>65</v>
      </c>
      <c r="D25" s="34"/>
      <c r="E25" s="126"/>
      <c r="F25" s="34"/>
      <c r="G25" s="34"/>
      <c r="H25" s="126"/>
      <c r="I25" s="34"/>
      <c r="J25" s="34"/>
      <c r="K25" s="42"/>
      <c r="L25" s="34"/>
      <c r="M25" s="34"/>
      <c r="N25" s="126"/>
      <c r="O25" s="34"/>
      <c r="P25" s="34"/>
      <c r="Q25" s="126"/>
      <c r="R25" s="34"/>
      <c r="S25" s="34"/>
      <c r="T25" s="126"/>
      <c r="U25" s="34"/>
      <c r="V25" s="37"/>
      <c r="W25" s="81"/>
    </row>
    <row r="26" spans="1:25" s="27" customFormat="1" ht="22.05" customHeight="1" thickBot="1" x14ac:dyDescent="0.5">
      <c r="A26" s="17" t="s">
        <v>5</v>
      </c>
      <c r="B26" s="33" t="s">
        <v>135</v>
      </c>
      <c r="C26" s="34" t="s">
        <v>64</v>
      </c>
      <c r="D26" s="34" t="s">
        <v>12</v>
      </c>
      <c r="E26" s="33" t="s">
        <v>83</v>
      </c>
      <c r="F26" s="34" t="s">
        <v>64</v>
      </c>
      <c r="G26" s="34" t="s">
        <v>12</v>
      </c>
      <c r="H26" s="33" t="s">
        <v>78</v>
      </c>
      <c r="I26" s="34" t="s">
        <v>64</v>
      </c>
      <c r="J26" s="34" t="s">
        <v>12</v>
      </c>
      <c r="K26" s="127" t="s">
        <v>73</v>
      </c>
      <c r="L26" s="34" t="s">
        <v>64</v>
      </c>
      <c r="M26" s="34" t="s">
        <v>12</v>
      </c>
      <c r="N26" s="36" t="s">
        <v>135</v>
      </c>
      <c r="O26" s="34" t="s">
        <v>64</v>
      </c>
      <c r="P26" s="34" t="s">
        <v>12</v>
      </c>
      <c r="Q26" s="36" t="s">
        <v>137</v>
      </c>
      <c r="R26" s="34" t="s">
        <v>64</v>
      </c>
      <c r="S26" s="34" t="s">
        <v>12</v>
      </c>
      <c r="T26" s="36" t="s">
        <v>137</v>
      </c>
      <c r="U26" s="34" t="s">
        <v>64</v>
      </c>
      <c r="V26" s="34" t="s">
        <v>12</v>
      </c>
      <c r="W26" s="105"/>
    </row>
    <row r="27" spans="1:25" s="27" customFormat="1" ht="22.05" customHeight="1" thickBot="1" x14ac:dyDescent="0.5">
      <c r="A27" s="24" t="s">
        <v>27</v>
      </c>
      <c r="B27" s="128" t="s">
        <v>78</v>
      </c>
      <c r="C27" s="34" t="s">
        <v>79</v>
      </c>
      <c r="D27" s="34" t="s">
        <v>13</v>
      </c>
      <c r="E27" s="126" t="s">
        <v>135</v>
      </c>
      <c r="F27" s="34" t="s">
        <v>67</v>
      </c>
      <c r="G27" s="34" t="s">
        <v>13</v>
      </c>
      <c r="H27" s="126" t="s">
        <v>80</v>
      </c>
      <c r="I27" s="34" t="s">
        <v>67</v>
      </c>
      <c r="J27" s="34" t="s">
        <v>13</v>
      </c>
      <c r="K27" s="126" t="s">
        <v>80</v>
      </c>
      <c r="L27" s="34" t="s">
        <v>67</v>
      </c>
      <c r="M27" s="34" t="s">
        <v>13</v>
      </c>
      <c r="N27" s="126" t="s">
        <v>73</v>
      </c>
      <c r="O27" s="34" t="s">
        <v>67</v>
      </c>
      <c r="P27" s="34" t="s">
        <v>13</v>
      </c>
      <c r="Q27" s="126" t="s">
        <v>83</v>
      </c>
      <c r="R27" s="34" t="s">
        <v>67</v>
      </c>
      <c r="S27" s="34" t="s">
        <v>13</v>
      </c>
      <c r="T27" s="126" t="s">
        <v>83</v>
      </c>
      <c r="U27" s="34" t="s">
        <v>67</v>
      </c>
      <c r="V27" s="34" t="s">
        <v>13</v>
      </c>
      <c r="W27" s="81"/>
    </row>
    <row r="28" spans="1:25" s="27" customFormat="1" ht="22.05" customHeight="1" thickBot="1" x14ac:dyDescent="0.5">
      <c r="A28" s="21"/>
      <c r="B28" s="128"/>
      <c r="C28" s="34"/>
      <c r="D28" s="34"/>
      <c r="E28" s="126"/>
      <c r="F28" s="34"/>
      <c r="G28" s="34"/>
      <c r="H28" s="126"/>
      <c r="I28" s="34"/>
      <c r="J28" s="34"/>
      <c r="K28" s="126"/>
      <c r="L28" s="34"/>
      <c r="M28" s="34"/>
      <c r="N28" s="126"/>
      <c r="O28" s="34"/>
      <c r="P28" s="34"/>
      <c r="Q28" s="126"/>
      <c r="R28" s="34"/>
      <c r="S28" s="34"/>
      <c r="T28" s="126"/>
      <c r="U28" s="34"/>
      <c r="V28" s="34"/>
      <c r="W28" s="81"/>
    </row>
    <row r="29" spans="1:25" s="27" customFormat="1" ht="22.05" customHeight="1" thickBot="1" x14ac:dyDescent="0.5">
      <c r="A29" s="24" t="s">
        <v>28</v>
      </c>
      <c r="B29" s="167" t="s">
        <v>73</v>
      </c>
      <c r="C29" s="34" t="s">
        <v>64</v>
      </c>
      <c r="D29" s="34" t="s">
        <v>14</v>
      </c>
      <c r="E29" s="167" t="s">
        <v>75</v>
      </c>
      <c r="F29" s="34" t="s">
        <v>64</v>
      </c>
      <c r="G29" s="34" t="s">
        <v>14</v>
      </c>
      <c r="H29" s="168" t="s">
        <v>77</v>
      </c>
      <c r="I29" s="34" t="s">
        <v>64</v>
      </c>
      <c r="J29" s="34" t="s">
        <v>14</v>
      </c>
      <c r="K29" s="167" t="s">
        <v>135</v>
      </c>
      <c r="L29" s="34" t="s">
        <v>64</v>
      </c>
      <c r="M29" s="34" t="s">
        <v>14</v>
      </c>
      <c r="N29" s="167" t="s">
        <v>81</v>
      </c>
      <c r="O29" s="34" t="s">
        <v>64</v>
      </c>
      <c r="P29" s="34" t="s">
        <v>14</v>
      </c>
      <c r="Q29" s="146"/>
      <c r="R29" s="34" t="s">
        <v>64</v>
      </c>
      <c r="S29" s="34" t="s">
        <v>14</v>
      </c>
      <c r="T29" s="146"/>
      <c r="U29" s="34" t="s">
        <v>64</v>
      </c>
      <c r="V29" s="34" t="s">
        <v>14</v>
      </c>
      <c r="W29" s="81"/>
    </row>
    <row r="30" spans="1:25" s="27" customFormat="1" ht="22.05" customHeight="1" thickBot="1" x14ac:dyDescent="0.5">
      <c r="A30" s="198"/>
      <c r="B30" s="41" t="s">
        <v>74</v>
      </c>
      <c r="C30" s="34" t="s">
        <v>67</v>
      </c>
      <c r="D30" s="34" t="s">
        <v>15</v>
      </c>
      <c r="E30" s="41" t="s">
        <v>74</v>
      </c>
      <c r="F30" s="34" t="s">
        <v>67</v>
      </c>
      <c r="G30" s="34" t="s">
        <v>15</v>
      </c>
      <c r="H30" s="41" t="s">
        <v>74</v>
      </c>
      <c r="I30" s="34" t="s">
        <v>67</v>
      </c>
      <c r="J30" s="34" t="s">
        <v>15</v>
      </c>
      <c r="K30" s="128" t="s">
        <v>77</v>
      </c>
      <c r="L30" s="34" t="s">
        <v>67</v>
      </c>
      <c r="M30" s="34" t="s">
        <v>15</v>
      </c>
      <c r="N30" s="128" t="s">
        <v>77</v>
      </c>
      <c r="O30" s="34" t="s">
        <v>67</v>
      </c>
      <c r="P30" s="34" t="s">
        <v>15</v>
      </c>
      <c r="Q30" s="126" t="s">
        <v>82</v>
      </c>
      <c r="R30" s="34" t="s">
        <v>79</v>
      </c>
      <c r="S30" s="34" t="s">
        <v>15</v>
      </c>
      <c r="T30" s="126" t="s">
        <v>82</v>
      </c>
      <c r="U30" s="34" t="s">
        <v>79</v>
      </c>
      <c r="V30" s="34" t="s">
        <v>15</v>
      </c>
      <c r="W30" s="81"/>
    </row>
    <row r="31" spans="1:25" s="27" customFormat="1" ht="22.05" customHeight="1" thickBot="1" x14ac:dyDescent="0.5">
      <c r="A31" s="198"/>
      <c r="B31" s="128"/>
      <c r="C31" s="34"/>
      <c r="D31" s="34"/>
      <c r="E31" s="128"/>
      <c r="F31" s="34"/>
      <c r="G31" s="34"/>
      <c r="H31" s="126"/>
      <c r="I31" s="34"/>
      <c r="J31" s="34"/>
      <c r="K31" s="126"/>
      <c r="L31" s="34"/>
      <c r="M31" s="34"/>
      <c r="N31" s="126"/>
      <c r="O31" s="34"/>
      <c r="P31" s="34"/>
      <c r="Q31" s="126"/>
      <c r="R31" s="34"/>
      <c r="S31" s="34"/>
      <c r="T31" s="126"/>
      <c r="U31" s="34"/>
      <c r="V31" s="34"/>
      <c r="W31" s="81"/>
    </row>
    <row r="32" spans="1:25" s="27" customFormat="1" ht="22.05" customHeight="1" thickBot="1" x14ac:dyDescent="0.5">
      <c r="A32" s="199"/>
      <c r="B32" s="148" t="s">
        <v>75</v>
      </c>
      <c r="C32" s="34" t="s">
        <v>76</v>
      </c>
      <c r="D32" s="34"/>
      <c r="E32" s="46" t="s">
        <v>90</v>
      </c>
      <c r="F32" s="34" t="s">
        <v>65</v>
      </c>
      <c r="G32" s="34"/>
      <c r="H32" s="46" t="s">
        <v>82</v>
      </c>
      <c r="I32" s="34" t="s">
        <v>65</v>
      </c>
      <c r="J32" s="34"/>
      <c r="K32" s="169" t="s">
        <v>81</v>
      </c>
      <c r="L32" s="34" t="s">
        <v>65</v>
      </c>
      <c r="M32" s="34"/>
      <c r="N32" s="151" t="s">
        <v>78</v>
      </c>
      <c r="O32" s="34" t="s">
        <v>65</v>
      </c>
      <c r="P32" s="34"/>
      <c r="Q32" s="46" t="s">
        <v>74</v>
      </c>
      <c r="R32" s="34" t="s">
        <v>65</v>
      </c>
      <c r="S32" s="34"/>
      <c r="T32" s="151" t="s">
        <v>74</v>
      </c>
      <c r="U32" s="34" t="s">
        <v>65</v>
      </c>
      <c r="V32" s="34"/>
      <c r="W32" s="81"/>
    </row>
    <row r="33" spans="1:26" s="27" customFormat="1" ht="22.05" customHeight="1" thickBot="1" x14ac:dyDescent="0.5">
      <c r="A33" s="224" t="s">
        <v>34</v>
      </c>
      <c r="B33" s="166" t="s">
        <v>140</v>
      </c>
      <c r="C33" s="34" t="s">
        <v>79</v>
      </c>
      <c r="D33" s="34"/>
      <c r="E33" s="166" t="s">
        <v>140</v>
      </c>
      <c r="F33" s="34" t="s">
        <v>79</v>
      </c>
      <c r="G33" s="34"/>
      <c r="H33" s="36" t="s">
        <v>123</v>
      </c>
      <c r="I33" s="34" t="s">
        <v>79</v>
      </c>
      <c r="J33" s="34"/>
      <c r="K33" s="36" t="s">
        <v>123</v>
      </c>
      <c r="L33" s="34" t="s">
        <v>79</v>
      </c>
      <c r="M33" s="34"/>
      <c r="N33" s="36" t="s">
        <v>123</v>
      </c>
      <c r="O33" s="34" t="s">
        <v>79</v>
      </c>
      <c r="P33" s="34"/>
      <c r="Q33" s="36"/>
      <c r="R33" s="34"/>
      <c r="S33" s="34"/>
      <c r="T33" s="36"/>
      <c r="U33" s="34"/>
      <c r="V33" s="37"/>
      <c r="W33" s="105"/>
    </row>
    <row r="34" spans="1:26" s="27" customFormat="1" ht="22.05" customHeight="1" thickBot="1" x14ac:dyDescent="0.5">
      <c r="A34" s="225"/>
      <c r="B34" s="39"/>
      <c r="C34" s="17"/>
      <c r="D34" s="17"/>
      <c r="E34" s="41"/>
      <c r="F34" s="17"/>
      <c r="G34" s="17"/>
      <c r="H34" s="166" t="s">
        <v>140</v>
      </c>
      <c r="I34" s="34" t="s">
        <v>65</v>
      </c>
      <c r="J34" s="17"/>
      <c r="K34" s="166" t="s">
        <v>140</v>
      </c>
      <c r="L34" s="34" t="s">
        <v>71</v>
      </c>
      <c r="M34" s="17"/>
      <c r="N34" s="166" t="s">
        <v>140</v>
      </c>
      <c r="O34" s="34" t="s">
        <v>71</v>
      </c>
      <c r="P34" s="17"/>
      <c r="Q34" s="41"/>
      <c r="R34" s="21"/>
      <c r="S34" s="21"/>
      <c r="T34" s="41"/>
      <c r="U34" s="17"/>
      <c r="V34" s="47"/>
      <c r="W34" s="81"/>
    </row>
    <row r="35" spans="1:26" s="27" customFormat="1" ht="22.05" customHeight="1" thickBot="1" x14ac:dyDescent="0.5">
      <c r="A35" s="48" t="s">
        <v>33</v>
      </c>
      <c r="B35" s="49" t="s">
        <v>139</v>
      </c>
      <c r="C35" s="50" t="s">
        <v>66</v>
      </c>
      <c r="D35" s="50"/>
      <c r="E35" s="49" t="s">
        <v>139</v>
      </c>
      <c r="F35" s="50" t="s">
        <v>66</v>
      </c>
      <c r="G35" s="50"/>
      <c r="H35" s="49" t="s">
        <v>139</v>
      </c>
      <c r="I35" s="50" t="s">
        <v>66</v>
      </c>
      <c r="J35" s="50"/>
      <c r="K35" s="49" t="s">
        <v>139</v>
      </c>
      <c r="L35" s="50" t="s">
        <v>66</v>
      </c>
      <c r="M35" s="50"/>
      <c r="N35" s="49" t="s">
        <v>139</v>
      </c>
      <c r="O35" s="50" t="s">
        <v>66</v>
      </c>
      <c r="P35" s="50"/>
      <c r="Q35" s="49"/>
      <c r="R35" s="50"/>
      <c r="S35" s="50"/>
      <c r="T35" s="49"/>
      <c r="U35" s="50"/>
      <c r="V35" s="50"/>
      <c r="W35" s="106"/>
    </row>
    <row r="36" spans="1:26" s="27" customFormat="1" ht="22.05" customHeight="1" x14ac:dyDescent="0.45">
      <c r="A36" s="222" t="s">
        <v>35</v>
      </c>
      <c r="B36" s="51"/>
      <c r="C36" s="184" t="s">
        <v>69</v>
      </c>
      <c r="D36" s="185"/>
      <c r="E36" s="51"/>
      <c r="F36" s="184" t="s">
        <v>69</v>
      </c>
      <c r="G36" s="185"/>
      <c r="H36" s="51"/>
      <c r="I36" s="184" t="s">
        <v>69</v>
      </c>
      <c r="J36" s="185"/>
      <c r="K36" s="51"/>
      <c r="L36" s="184" t="s">
        <v>69</v>
      </c>
      <c r="M36" s="185"/>
      <c r="N36" s="52"/>
      <c r="O36" s="184" t="s">
        <v>69</v>
      </c>
      <c r="P36" s="185"/>
      <c r="Q36" s="52"/>
      <c r="R36" s="184" t="s">
        <v>69</v>
      </c>
      <c r="S36" s="185"/>
      <c r="T36" s="51"/>
      <c r="U36" s="184" t="s">
        <v>69</v>
      </c>
      <c r="V36" s="185"/>
      <c r="W36" s="80"/>
      <c r="X36" s="81"/>
    </row>
    <row r="37" spans="1:26" s="27" customFormat="1" ht="22.05" customHeight="1" thickBot="1" x14ac:dyDescent="0.5">
      <c r="A37" s="223"/>
      <c r="B37" s="53"/>
      <c r="C37" s="226" t="s">
        <v>36</v>
      </c>
      <c r="D37" s="227"/>
      <c r="E37" s="54"/>
      <c r="F37" s="226" t="s">
        <v>36</v>
      </c>
      <c r="G37" s="227"/>
      <c r="H37" s="54"/>
      <c r="I37" s="226" t="s">
        <v>36</v>
      </c>
      <c r="J37" s="227"/>
      <c r="K37" s="54"/>
      <c r="L37" s="226" t="s">
        <v>36</v>
      </c>
      <c r="M37" s="227"/>
      <c r="N37" s="54"/>
      <c r="O37" s="226" t="s">
        <v>36</v>
      </c>
      <c r="P37" s="227"/>
      <c r="Q37" s="54"/>
      <c r="R37" s="226" t="s">
        <v>36</v>
      </c>
      <c r="S37" s="227"/>
      <c r="T37" s="54"/>
      <c r="U37" s="226" t="s">
        <v>36</v>
      </c>
      <c r="V37" s="227"/>
      <c r="W37" s="79"/>
      <c r="X37" s="81"/>
    </row>
    <row r="38" spans="1:26" ht="22.05" customHeight="1" thickBot="1" x14ac:dyDescent="0.4">
      <c r="A38" s="2"/>
      <c r="R38" s="7"/>
      <c r="S38" s="7"/>
    </row>
    <row r="39" spans="1:26" ht="38.25" customHeight="1" thickBot="1" x14ac:dyDescent="0.35">
      <c r="A39" s="121" t="s">
        <v>6</v>
      </c>
      <c r="B39" s="55">
        <f>(N1)</f>
        <v>46097</v>
      </c>
      <c r="C39" s="56" t="s">
        <v>2</v>
      </c>
      <c r="D39" s="56" t="s">
        <v>3</v>
      </c>
      <c r="E39" s="57">
        <f>(N1)+1</f>
        <v>46098</v>
      </c>
      <c r="F39" s="56" t="s">
        <v>2</v>
      </c>
      <c r="G39" s="56" t="s">
        <v>3</v>
      </c>
      <c r="H39" s="57">
        <f>(N1)+2</f>
        <v>46099</v>
      </c>
      <c r="I39" s="56" t="s">
        <v>2</v>
      </c>
      <c r="J39" s="56" t="s">
        <v>3</v>
      </c>
      <c r="K39" s="147">
        <f>(N1)+3</f>
        <v>46100</v>
      </c>
      <c r="L39" s="56" t="s">
        <v>2</v>
      </c>
      <c r="M39" s="56" t="s">
        <v>3</v>
      </c>
      <c r="N39" s="58">
        <f>(N1)+4</f>
        <v>46101</v>
      </c>
      <c r="O39" s="56" t="s">
        <v>2</v>
      </c>
      <c r="P39" s="56" t="s">
        <v>3</v>
      </c>
      <c r="Q39" s="58">
        <f>(N1)+5</f>
        <v>46102</v>
      </c>
      <c r="R39" s="56" t="s">
        <v>2</v>
      </c>
      <c r="S39" s="56" t="s">
        <v>3</v>
      </c>
      <c r="T39" s="58">
        <f>(N1)+6</f>
        <v>46103</v>
      </c>
      <c r="U39" s="56" t="s">
        <v>2</v>
      </c>
      <c r="V39" s="56" t="s">
        <v>3</v>
      </c>
      <c r="W39" s="8"/>
      <c r="X39" s="13"/>
      <c r="Y39" s="13"/>
      <c r="Z39" s="13"/>
    </row>
    <row r="40" spans="1:26" s="27" customFormat="1" ht="22.05" customHeight="1" thickBot="1" x14ac:dyDescent="0.5">
      <c r="A40" s="197" t="s">
        <v>1</v>
      </c>
      <c r="B40" s="59" t="s">
        <v>125</v>
      </c>
      <c r="C40" s="129" t="s">
        <v>79</v>
      </c>
      <c r="D40" s="129"/>
      <c r="E40" s="40" t="s">
        <v>103</v>
      </c>
      <c r="F40" s="34" t="s">
        <v>79</v>
      </c>
      <c r="G40" s="129"/>
      <c r="H40" s="183" t="s">
        <v>142</v>
      </c>
      <c r="I40" s="60" t="s">
        <v>67</v>
      </c>
      <c r="J40" s="60"/>
      <c r="K40" s="156" t="s">
        <v>124</v>
      </c>
      <c r="L40" s="161" t="s">
        <v>67</v>
      </c>
      <c r="M40" s="60"/>
      <c r="N40" s="156" t="s">
        <v>125</v>
      </c>
      <c r="O40" s="65" t="s">
        <v>67</v>
      </c>
      <c r="P40" s="60"/>
      <c r="Q40" s="123" t="s">
        <v>125</v>
      </c>
      <c r="R40" s="60" t="s">
        <v>64</v>
      </c>
      <c r="S40" s="60"/>
      <c r="T40" s="123" t="s">
        <v>125</v>
      </c>
      <c r="U40" s="60" t="s">
        <v>64</v>
      </c>
      <c r="V40" s="60"/>
      <c r="W40" s="81"/>
      <c r="X40" s="41"/>
      <c r="Y40" s="228"/>
      <c r="Z40" s="41"/>
    </row>
    <row r="41" spans="1:26" s="27" customFormat="1" ht="22.05" customHeight="1" thickBot="1" x14ac:dyDescent="0.5">
      <c r="A41" s="198"/>
      <c r="B41" s="181" t="s">
        <v>151</v>
      </c>
      <c r="C41" s="60" t="s">
        <v>65</v>
      </c>
      <c r="D41" s="60"/>
      <c r="E41" s="59"/>
      <c r="F41" s="60"/>
      <c r="G41" s="60"/>
      <c r="H41" s="59" t="s">
        <v>152</v>
      </c>
      <c r="I41" s="60" t="s">
        <v>79</v>
      </c>
      <c r="J41" s="60"/>
      <c r="K41" s="173"/>
      <c r="L41" s="60" t="s">
        <v>65</v>
      </c>
      <c r="M41" s="60"/>
      <c r="N41" s="174"/>
      <c r="O41" s="60" t="s">
        <v>65</v>
      </c>
      <c r="P41" s="60"/>
      <c r="Q41" s="59" t="s">
        <v>116</v>
      </c>
      <c r="R41" s="60" t="s">
        <v>65</v>
      </c>
      <c r="S41" s="60"/>
      <c r="T41" s="59" t="s">
        <v>116</v>
      </c>
      <c r="U41" s="60" t="s">
        <v>65</v>
      </c>
      <c r="V41" s="60"/>
      <c r="W41" s="81"/>
      <c r="X41" s="41"/>
      <c r="Y41" s="228"/>
      <c r="Z41" s="41"/>
    </row>
    <row r="42" spans="1:26" s="27" customFormat="1" ht="22.05" customHeight="1" thickBot="1" x14ac:dyDescent="0.5">
      <c r="A42" s="24">
        <v>6232</v>
      </c>
      <c r="B42" s="132"/>
      <c r="C42" s="60"/>
      <c r="D42" s="60"/>
      <c r="E42" s="133"/>
      <c r="F42" s="60"/>
      <c r="G42" s="60"/>
      <c r="H42" s="59"/>
      <c r="I42" s="60"/>
      <c r="J42" s="60"/>
      <c r="K42" s="133"/>
      <c r="L42" s="60"/>
      <c r="M42" s="60"/>
      <c r="N42" s="134"/>
      <c r="O42" s="129"/>
      <c r="P42" s="60"/>
      <c r="Q42" s="133"/>
      <c r="R42" s="60"/>
      <c r="S42" s="60"/>
      <c r="T42" s="133"/>
      <c r="U42" s="60"/>
      <c r="V42" s="60"/>
      <c r="W42" s="107"/>
      <c r="X42" s="41"/>
      <c r="Y42" s="228"/>
      <c r="Z42" s="41"/>
    </row>
    <row r="43" spans="1:26" s="27" customFormat="1" ht="22.05" customHeight="1" thickBot="1" x14ac:dyDescent="0.5">
      <c r="A43" s="17" t="s">
        <v>4</v>
      </c>
      <c r="B43" s="61" t="s">
        <v>126</v>
      </c>
      <c r="C43" s="60" t="s">
        <v>64</v>
      </c>
      <c r="D43" s="60"/>
      <c r="E43" s="62" t="s">
        <v>133</v>
      </c>
      <c r="F43" s="60" t="s">
        <v>67</v>
      </c>
      <c r="G43" s="60"/>
      <c r="H43" s="62" t="s">
        <v>127</v>
      </c>
      <c r="I43" s="60" t="s">
        <v>79</v>
      </c>
      <c r="J43" s="60"/>
      <c r="K43" s="61" t="s">
        <v>126</v>
      </c>
      <c r="L43" s="60" t="s">
        <v>79</v>
      </c>
      <c r="M43" s="60"/>
      <c r="N43" s="61" t="s">
        <v>126</v>
      </c>
      <c r="O43" s="60" t="s">
        <v>79</v>
      </c>
      <c r="P43" s="60"/>
      <c r="Q43" s="62" t="s">
        <v>127</v>
      </c>
      <c r="R43" s="34" t="s">
        <v>67</v>
      </c>
      <c r="S43" s="135"/>
      <c r="T43" s="62" t="s">
        <v>127</v>
      </c>
      <c r="U43" s="34" t="s">
        <v>67</v>
      </c>
      <c r="V43" s="60"/>
      <c r="W43" s="105"/>
      <c r="X43" s="108"/>
      <c r="Y43" s="228"/>
      <c r="Z43" s="228"/>
    </row>
    <row r="44" spans="1:26" s="27" customFormat="1" ht="22.05" customHeight="1" thickBot="1" x14ac:dyDescent="0.5">
      <c r="A44" s="24">
        <v>6235</v>
      </c>
      <c r="B44" s="131"/>
      <c r="C44" s="60"/>
      <c r="D44" s="60"/>
      <c r="E44" s="136"/>
      <c r="F44" s="60"/>
      <c r="G44" s="60"/>
      <c r="H44" s="137" t="s">
        <v>143</v>
      </c>
      <c r="I44" s="60" t="s">
        <v>76</v>
      </c>
      <c r="J44" s="60"/>
      <c r="K44" s="126"/>
      <c r="L44" s="34"/>
      <c r="M44" s="60"/>
      <c r="N44" s="136"/>
      <c r="O44" s="60"/>
      <c r="P44" s="60"/>
      <c r="Q44" s="136"/>
      <c r="R44" s="60"/>
      <c r="S44" s="60"/>
      <c r="T44" s="136"/>
      <c r="U44" s="60"/>
      <c r="V44" s="60"/>
      <c r="W44" s="81"/>
      <c r="X44" s="104"/>
      <c r="Y44" s="228"/>
      <c r="Z44" s="228"/>
    </row>
    <row r="45" spans="1:26" s="27" customFormat="1" ht="22.05" customHeight="1" thickBot="1" x14ac:dyDescent="0.5">
      <c r="A45" s="17" t="s">
        <v>5</v>
      </c>
      <c r="B45" s="61" t="s">
        <v>92</v>
      </c>
      <c r="C45" s="60" t="s">
        <v>64</v>
      </c>
      <c r="D45" s="60" t="s">
        <v>16</v>
      </c>
      <c r="E45" s="62" t="s">
        <v>87</v>
      </c>
      <c r="F45" s="60" t="s">
        <v>64</v>
      </c>
      <c r="G45" s="60" t="s">
        <v>16</v>
      </c>
      <c r="H45" s="130" t="s">
        <v>90</v>
      </c>
      <c r="I45" s="60" t="s">
        <v>71</v>
      </c>
      <c r="J45" s="60" t="s">
        <v>16</v>
      </c>
      <c r="K45" s="61" t="s">
        <v>86</v>
      </c>
      <c r="L45" s="60" t="s">
        <v>76</v>
      </c>
      <c r="M45" s="60" t="s">
        <v>16</v>
      </c>
      <c r="N45" s="61" t="s">
        <v>85</v>
      </c>
      <c r="O45" s="60" t="s">
        <v>64</v>
      </c>
      <c r="P45" s="60" t="s">
        <v>16</v>
      </c>
      <c r="Q45" s="61" t="s">
        <v>91</v>
      </c>
      <c r="R45" s="60" t="s">
        <v>64</v>
      </c>
      <c r="S45" s="60" t="s">
        <v>16</v>
      </c>
      <c r="T45" s="62" t="s">
        <v>91</v>
      </c>
      <c r="U45" s="60" t="s">
        <v>64</v>
      </c>
      <c r="V45" s="60" t="s">
        <v>16</v>
      </c>
      <c r="W45" s="105"/>
    </row>
    <row r="46" spans="1:26" s="27" customFormat="1" ht="22.05" customHeight="1" thickBot="1" x14ac:dyDescent="0.5">
      <c r="A46" s="24" t="s">
        <v>29</v>
      </c>
      <c r="B46" s="131" t="s">
        <v>89</v>
      </c>
      <c r="C46" s="60" t="s">
        <v>67</v>
      </c>
      <c r="D46" s="60" t="s">
        <v>18</v>
      </c>
      <c r="E46" s="136" t="s">
        <v>86</v>
      </c>
      <c r="F46" s="60" t="s">
        <v>67</v>
      </c>
      <c r="G46" s="60" t="s">
        <v>18</v>
      </c>
      <c r="H46" s="175" t="s">
        <v>86</v>
      </c>
      <c r="I46" s="60" t="s">
        <v>76</v>
      </c>
      <c r="J46" s="60" t="s">
        <v>18</v>
      </c>
      <c r="K46" s="131" t="s">
        <v>93</v>
      </c>
      <c r="L46" s="60" t="s">
        <v>79</v>
      </c>
      <c r="M46" s="60" t="s">
        <v>18</v>
      </c>
      <c r="N46" s="131" t="s">
        <v>93</v>
      </c>
      <c r="O46" s="60" t="s">
        <v>67</v>
      </c>
      <c r="P46" s="60" t="s">
        <v>18</v>
      </c>
      <c r="Q46" s="131" t="s">
        <v>85</v>
      </c>
      <c r="R46" s="60" t="s">
        <v>67</v>
      </c>
      <c r="S46" s="60" t="s">
        <v>18</v>
      </c>
      <c r="T46" s="136" t="s">
        <v>85</v>
      </c>
      <c r="U46" s="60" t="s">
        <v>67</v>
      </c>
      <c r="V46" s="60" t="s">
        <v>18</v>
      </c>
      <c r="W46" s="81"/>
    </row>
    <row r="47" spans="1:26" s="27" customFormat="1" ht="22.05" customHeight="1" thickBot="1" x14ac:dyDescent="0.5">
      <c r="A47" s="21"/>
      <c r="B47" s="131"/>
      <c r="C47" s="60"/>
      <c r="D47" s="60"/>
      <c r="E47" s="136"/>
      <c r="F47" s="60"/>
      <c r="G47" s="60"/>
      <c r="H47" s="176"/>
      <c r="I47" s="60" t="s">
        <v>145</v>
      </c>
      <c r="J47" s="60"/>
      <c r="K47" s="176"/>
      <c r="L47" s="60" t="s">
        <v>145</v>
      </c>
      <c r="M47" s="60"/>
      <c r="N47" s="136"/>
      <c r="O47" s="60"/>
      <c r="P47" s="60"/>
      <c r="Q47" s="136"/>
      <c r="R47" s="60"/>
      <c r="S47" s="60"/>
      <c r="T47" s="136"/>
      <c r="U47" s="60"/>
      <c r="V47" s="60"/>
      <c r="W47" s="81"/>
    </row>
    <row r="48" spans="1:26" s="27" customFormat="1" ht="22.05" customHeight="1" thickBot="1" x14ac:dyDescent="0.5">
      <c r="A48" s="24" t="s">
        <v>30</v>
      </c>
      <c r="B48" s="131" t="s">
        <v>91</v>
      </c>
      <c r="C48" s="60" t="s">
        <v>64</v>
      </c>
      <c r="D48" s="60" t="s">
        <v>17</v>
      </c>
      <c r="E48" s="136" t="s">
        <v>92</v>
      </c>
      <c r="F48" s="60" t="s">
        <v>64</v>
      </c>
      <c r="G48" s="60" t="s">
        <v>17</v>
      </c>
      <c r="I48" s="60"/>
      <c r="J48" s="60"/>
      <c r="K48" s="131"/>
      <c r="L48" s="60"/>
      <c r="M48" s="60"/>
      <c r="N48" s="165" t="s">
        <v>89</v>
      </c>
      <c r="O48" s="60" t="s">
        <v>64</v>
      </c>
      <c r="P48" s="60" t="s">
        <v>17</v>
      </c>
      <c r="Q48" s="131" t="s">
        <v>92</v>
      </c>
      <c r="R48" s="60" t="s">
        <v>64</v>
      </c>
      <c r="S48" s="60" t="s">
        <v>17</v>
      </c>
      <c r="T48" s="131" t="s">
        <v>92</v>
      </c>
      <c r="U48" s="60" t="s">
        <v>64</v>
      </c>
      <c r="V48" s="60" t="s">
        <v>17</v>
      </c>
      <c r="W48" s="81"/>
    </row>
    <row r="49" spans="1:26" s="27" customFormat="1" ht="22.05" customHeight="1" thickBot="1" x14ac:dyDescent="0.5">
      <c r="A49" s="198"/>
      <c r="B49" s="131" t="s">
        <v>85</v>
      </c>
      <c r="C49" s="60" t="s">
        <v>67</v>
      </c>
      <c r="D49" s="60" t="s">
        <v>19</v>
      </c>
      <c r="E49" s="131" t="s">
        <v>91</v>
      </c>
      <c r="F49" s="60" t="s">
        <v>67</v>
      </c>
      <c r="G49" s="60" t="s">
        <v>19</v>
      </c>
      <c r="H49" s="136" t="s">
        <v>94</v>
      </c>
      <c r="I49" s="60" t="s">
        <v>64</v>
      </c>
      <c r="J49" s="60" t="s">
        <v>17</v>
      </c>
      <c r="K49" s="131" t="s">
        <v>89</v>
      </c>
      <c r="L49" s="60" t="s">
        <v>64</v>
      </c>
      <c r="M49" s="60" t="s">
        <v>17</v>
      </c>
      <c r="N49" s="131" t="s">
        <v>87</v>
      </c>
      <c r="O49" s="60" t="s">
        <v>67</v>
      </c>
      <c r="P49" s="60" t="s">
        <v>19</v>
      </c>
      <c r="Q49" s="136" t="s">
        <v>90</v>
      </c>
      <c r="R49" s="60" t="s">
        <v>67</v>
      </c>
      <c r="S49" s="60" t="s">
        <v>19</v>
      </c>
      <c r="T49" s="131" t="s">
        <v>90</v>
      </c>
      <c r="U49" s="60" t="s">
        <v>67</v>
      </c>
      <c r="V49" s="60" t="s">
        <v>19</v>
      </c>
      <c r="W49" s="81"/>
    </row>
    <row r="50" spans="1:26" s="27" customFormat="1" ht="22.05" customHeight="1" thickBot="1" x14ac:dyDescent="0.5">
      <c r="A50" s="198"/>
      <c r="B50" s="131"/>
      <c r="C50" s="60"/>
      <c r="D50" s="60"/>
      <c r="E50" s="131"/>
      <c r="F50" s="60"/>
      <c r="G50" s="60"/>
      <c r="H50" s="131" t="s">
        <v>84</v>
      </c>
      <c r="I50" s="60" t="s">
        <v>67</v>
      </c>
      <c r="J50" s="60" t="s">
        <v>19</v>
      </c>
      <c r="K50" s="131" t="s">
        <v>84</v>
      </c>
      <c r="L50" s="60" t="s">
        <v>67</v>
      </c>
      <c r="M50" s="60" t="s">
        <v>19</v>
      </c>
      <c r="N50" s="136"/>
      <c r="O50" s="60"/>
      <c r="P50" s="60"/>
      <c r="Q50" s="136"/>
      <c r="R50" s="60"/>
      <c r="S50" s="60"/>
      <c r="T50" s="136"/>
      <c r="U50" s="60"/>
      <c r="V50" s="60"/>
      <c r="W50" s="81"/>
    </row>
    <row r="51" spans="1:26" s="27" customFormat="1" ht="22.05" customHeight="1" thickBot="1" x14ac:dyDescent="0.5">
      <c r="A51" s="18"/>
      <c r="B51" s="138" t="s">
        <v>87</v>
      </c>
      <c r="C51" s="60" t="s">
        <v>76</v>
      </c>
      <c r="D51" s="60"/>
      <c r="E51" s="149" t="s">
        <v>94</v>
      </c>
      <c r="F51" s="60" t="s">
        <v>65</v>
      </c>
      <c r="G51" s="60"/>
      <c r="H51" s="133"/>
      <c r="I51" s="60"/>
      <c r="J51" s="60"/>
      <c r="K51" s="133"/>
      <c r="L51" s="60"/>
      <c r="M51" s="60"/>
      <c r="N51" s="133" t="s">
        <v>84</v>
      </c>
      <c r="O51" s="60" t="s">
        <v>65</v>
      </c>
      <c r="P51" s="60"/>
      <c r="Q51" s="149" t="s">
        <v>84</v>
      </c>
      <c r="R51" s="60" t="s">
        <v>65</v>
      </c>
      <c r="S51" s="60"/>
      <c r="T51" s="133" t="s">
        <v>94</v>
      </c>
      <c r="U51" s="60" t="s">
        <v>65</v>
      </c>
      <c r="V51" s="60"/>
      <c r="W51" s="107"/>
    </row>
    <row r="52" spans="1:26" s="27" customFormat="1" ht="22.05" customHeight="1" thickBot="1" x14ac:dyDescent="0.5">
      <c r="A52" s="224" t="s">
        <v>34</v>
      </c>
      <c r="B52" s="61" t="s">
        <v>89</v>
      </c>
      <c r="C52" s="60" t="s">
        <v>65</v>
      </c>
      <c r="D52" s="60"/>
      <c r="E52" s="62"/>
      <c r="F52" s="60"/>
      <c r="G52" s="60"/>
      <c r="H52" s="62"/>
      <c r="I52" s="60"/>
      <c r="J52" s="60"/>
      <c r="K52" s="62"/>
      <c r="L52" s="60"/>
      <c r="M52" s="60"/>
      <c r="N52" s="62"/>
      <c r="O52" s="60"/>
      <c r="P52" s="60"/>
      <c r="Q52" s="62"/>
      <c r="R52" s="60"/>
      <c r="S52" s="60"/>
      <c r="T52" s="62"/>
      <c r="U52" s="60"/>
      <c r="V52" s="60"/>
      <c r="W52" s="105"/>
    </row>
    <row r="53" spans="1:26" s="27" customFormat="1" ht="22.05" customHeight="1" thickBot="1" x14ac:dyDescent="0.5">
      <c r="A53" s="225"/>
      <c r="B53" s="64"/>
      <c r="C53" s="65"/>
      <c r="D53" s="65"/>
      <c r="E53" s="59"/>
      <c r="F53" s="65"/>
      <c r="G53" s="65"/>
      <c r="H53" s="59"/>
      <c r="I53" s="65"/>
      <c r="J53" s="65"/>
      <c r="K53" s="59"/>
      <c r="L53" s="65"/>
      <c r="M53" s="65"/>
      <c r="N53" s="59"/>
      <c r="O53" s="65"/>
      <c r="P53" s="65"/>
      <c r="Q53" s="59"/>
      <c r="R53" s="65"/>
      <c r="S53" s="65"/>
      <c r="T53" s="59"/>
      <c r="U53" s="65"/>
      <c r="V53" s="65"/>
      <c r="W53" s="81"/>
    </row>
    <row r="54" spans="1:26" s="27" customFormat="1" ht="22.05" customHeight="1" thickBot="1" x14ac:dyDescent="0.5">
      <c r="A54" s="66" t="s">
        <v>33</v>
      </c>
      <c r="B54" s="67" t="s">
        <v>150</v>
      </c>
      <c r="C54" s="50" t="s">
        <v>66</v>
      </c>
      <c r="D54" s="50"/>
      <c r="E54" s="67" t="s">
        <v>150</v>
      </c>
      <c r="F54" s="50" t="s">
        <v>66</v>
      </c>
      <c r="G54" s="50"/>
      <c r="H54" s="67" t="s">
        <v>150</v>
      </c>
      <c r="I54" s="50" t="s">
        <v>66</v>
      </c>
      <c r="J54" s="50"/>
      <c r="K54" s="67" t="s">
        <v>150</v>
      </c>
      <c r="L54" s="50" t="s">
        <v>66</v>
      </c>
      <c r="M54" s="50"/>
      <c r="N54" s="67"/>
      <c r="O54" s="50"/>
      <c r="P54" s="50"/>
      <c r="Q54" s="67"/>
      <c r="R54" s="50"/>
      <c r="S54" s="50"/>
      <c r="T54" s="67"/>
      <c r="U54" s="50"/>
      <c r="V54" s="50"/>
      <c r="W54" s="106"/>
    </row>
    <row r="55" spans="1:26" s="27" customFormat="1" ht="22.05" customHeight="1" x14ac:dyDescent="0.45">
      <c r="A55" s="222" t="s">
        <v>35</v>
      </c>
      <c r="B55" s="51"/>
      <c r="C55" s="184" t="s">
        <v>69</v>
      </c>
      <c r="D55" s="185"/>
      <c r="E55" s="51"/>
      <c r="F55" s="184" t="s">
        <v>69</v>
      </c>
      <c r="G55" s="185"/>
      <c r="H55" s="51"/>
      <c r="I55" s="184" t="s">
        <v>69</v>
      </c>
      <c r="J55" s="185"/>
      <c r="K55" s="51"/>
      <c r="L55" s="184" t="s">
        <v>69</v>
      </c>
      <c r="M55" s="185"/>
      <c r="N55" s="52"/>
      <c r="O55" s="184" t="s">
        <v>69</v>
      </c>
      <c r="P55" s="185"/>
      <c r="Q55" s="52"/>
      <c r="R55" s="184" t="s">
        <v>69</v>
      </c>
      <c r="S55" s="185"/>
      <c r="T55" s="51"/>
      <c r="U55" s="184" t="s">
        <v>69</v>
      </c>
      <c r="V55" s="185"/>
      <c r="W55" s="80"/>
      <c r="X55" s="81"/>
    </row>
    <row r="56" spans="1:26" s="27" customFormat="1" ht="22.05" customHeight="1" thickBot="1" x14ac:dyDescent="0.5">
      <c r="A56" s="223"/>
      <c r="B56" s="68"/>
      <c r="C56" s="226" t="s">
        <v>36</v>
      </c>
      <c r="D56" s="227"/>
      <c r="E56" s="69"/>
      <c r="F56" s="226" t="s">
        <v>36</v>
      </c>
      <c r="G56" s="227"/>
      <c r="H56" s="69"/>
      <c r="I56" s="226" t="s">
        <v>36</v>
      </c>
      <c r="J56" s="227"/>
      <c r="K56" s="69"/>
      <c r="L56" s="226" t="s">
        <v>36</v>
      </c>
      <c r="M56" s="227"/>
      <c r="N56" s="69"/>
      <c r="O56" s="226" t="s">
        <v>36</v>
      </c>
      <c r="P56" s="227"/>
      <c r="Q56" s="69"/>
      <c r="R56" s="226" t="s">
        <v>36</v>
      </c>
      <c r="S56" s="227"/>
      <c r="T56" s="69"/>
      <c r="U56" s="226" t="s">
        <v>36</v>
      </c>
      <c r="V56" s="227"/>
      <c r="W56" s="109"/>
      <c r="X56" s="81"/>
    </row>
    <row r="57" spans="1:26" ht="22.05" customHeight="1" x14ac:dyDescent="0.35">
      <c r="A57" s="2"/>
    </row>
    <row r="58" spans="1:26" ht="38.25" customHeight="1" thickBot="1" x14ac:dyDescent="0.35">
      <c r="A58" s="120" t="s">
        <v>7</v>
      </c>
      <c r="B58" s="70">
        <f>(N1)</f>
        <v>46097</v>
      </c>
      <c r="C58" s="71" t="s">
        <v>2</v>
      </c>
      <c r="D58" s="71" t="s">
        <v>3</v>
      </c>
      <c r="E58" s="70">
        <f>(N1)+1</f>
        <v>46098</v>
      </c>
      <c r="F58" s="71" t="s">
        <v>2</v>
      </c>
      <c r="G58" s="71" t="s">
        <v>3</v>
      </c>
      <c r="H58" s="70">
        <f>(N1)+2</f>
        <v>46099</v>
      </c>
      <c r="I58" s="71" t="s">
        <v>2</v>
      </c>
      <c r="J58" s="71" t="s">
        <v>3</v>
      </c>
      <c r="K58" s="70">
        <f>(N1)+3</f>
        <v>46100</v>
      </c>
      <c r="L58" s="71" t="s">
        <v>2</v>
      </c>
      <c r="M58" s="71" t="s">
        <v>3</v>
      </c>
      <c r="N58" s="70">
        <f>(N1)+4</f>
        <v>46101</v>
      </c>
      <c r="O58" s="71" t="s">
        <v>2</v>
      </c>
      <c r="P58" s="71" t="s">
        <v>3</v>
      </c>
      <c r="Q58" s="70">
        <f>(N1)+5</f>
        <v>46102</v>
      </c>
      <c r="R58" s="71" t="s">
        <v>2</v>
      </c>
      <c r="S58" s="72" t="s">
        <v>3</v>
      </c>
      <c r="T58" s="70">
        <f>(N1)+6</f>
        <v>46103</v>
      </c>
      <c r="U58" s="71" t="s">
        <v>2</v>
      </c>
      <c r="V58" s="73" t="s">
        <v>3</v>
      </c>
      <c r="W58" s="9"/>
      <c r="X58" s="13"/>
      <c r="Y58" s="12"/>
      <c r="Z58" s="12"/>
    </row>
    <row r="59" spans="1:26" s="27" customFormat="1" ht="22.05" customHeight="1" thickTop="1" thickBot="1" x14ac:dyDescent="0.5">
      <c r="A59" s="221" t="s">
        <v>1</v>
      </c>
      <c r="B59" s="74" t="s">
        <v>128</v>
      </c>
      <c r="C59" s="34" t="s">
        <v>64</v>
      </c>
      <c r="D59" s="34"/>
      <c r="E59" s="162" t="s">
        <v>153</v>
      </c>
      <c r="F59" s="34" t="s">
        <v>79</v>
      </c>
      <c r="G59" s="34"/>
      <c r="H59" s="182"/>
      <c r="I59" s="34" t="s">
        <v>64</v>
      </c>
      <c r="J59" s="34"/>
      <c r="K59" s="163" t="s">
        <v>129</v>
      </c>
      <c r="L59" s="60" t="s">
        <v>79</v>
      </c>
      <c r="M59" s="34"/>
      <c r="N59" s="74" t="s">
        <v>128</v>
      </c>
      <c r="O59" s="34" t="s">
        <v>79</v>
      </c>
      <c r="P59" s="34"/>
      <c r="Q59" s="92" t="s">
        <v>103</v>
      </c>
      <c r="R59" s="34" t="s">
        <v>64</v>
      </c>
      <c r="S59" s="34"/>
      <c r="T59" s="92" t="s">
        <v>103</v>
      </c>
      <c r="U59" s="34" t="s">
        <v>64</v>
      </c>
      <c r="V59" s="34"/>
      <c r="W59" s="81"/>
      <c r="X59" s="41"/>
      <c r="Y59" s="108"/>
      <c r="Z59" s="108"/>
    </row>
    <row r="60" spans="1:26" s="27" customFormat="1" ht="22.05" customHeight="1" thickBot="1" x14ac:dyDescent="0.5">
      <c r="A60" s="198"/>
      <c r="B60" s="139" t="s">
        <v>148</v>
      </c>
      <c r="C60" s="34"/>
      <c r="D60" s="34"/>
      <c r="E60" s="153" t="s">
        <v>129</v>
      </c>
      <c r="F60" s="34" t="s">
        <v>65</v>
      </c>
      <c r="G60" s="34"/>
      <c r="H60" s="139"/>
      <c r="I60" s="34"/>
      <c r="J60" s="34"/>
      <c r="K60" s="154" t="s">
        <v>128</v>
      </c>
      <c r="L60" s="60" t="s">
        <v>65</v>
      </c>
      <c r="M60" s="34"/>
      <c r="N60" s="153" t="s">
        <v>120</v>
      </c>
      <c r="O60" s="34" t="s">
        <v>65</v>
      </c>
      <c r="P60" s="34"/>
      <c r="Q60" s="139"/>
      <c r="R60" s="34"/>
      <c r="S60" s="34"/>
      <c r="T60" s="81"/>
      <c r="U60" s="34"/>
      <c r="V60" s="34"/>
      <c r="W60" s="81"/>
      <c r="X60" s="41"/>
      <c r="Y60" s="108"/>
      <c r="Z60" s="108"/>
    </row>
    <row r="61" spans="1:26" s="27" customFormat="1" ht="22.05" customHeight="1" thickBot="1" x14ac:dyDescent="0.5">
      <c r="A61" s="24">
        <v>6252</v>
      </c>
      <c r="B61" s="75"/>
      <c r="C61" s="34"/>
      <c r="D61" s="34"/>
      <c r="E61" s="76"/>
      <c r="F61" s="34"/>
      <c r="G61" s="34"/>
      <c r="H61" s="76"/>
      <c r="I61" s="34"/>
      <c r="J61" s="34"/>
      <c r="K61" s="76"/>
      <c r="L61" s="34"/>
      <c r="M61" s="34"/>
      <c r="N61" s="76"/>
      <c r="O61" s="34"/>
      <c r="P61" s="34"/>
      <c r="Q61" s="76"/>
      <c r="R61" s="34"/>
      <c r="S61" s="34"/>
      <c r="T61" s="76"/>
      <c r="U61" s="34"/>
      <c r="V61" s="34"/>
      <c r="W61" s="107"/>
      <c r="X61" s="41"/>
      <c r="Y61" s="108"/>
      <c r="Z61" s="108"/>
    </row>
    <row r="62" spans="1:26" s="27" customFormat="1" ht="22.05" customHeight="1" thickBot="1" x14ac:dyDescent="0.5">
      <c r="A62" s="17" t="s">
        <v>4</v>
      </c>
      <c r="B62" s="77" t="s">
        <v>108</v>
      </c>
      <c r="C62" s="34" t="s">
        <v>67</v>
      </c>
      <c r="D62" s="34"/>
      <c r="E62" s="63" t="s">
        <v>131</v>
      </c>
      <c r="F62" s="34" t="s">
        <v>64</v>
      </c>
      <c r="G62" s="34"/>
      <c r="H62" s="63" t="s">
        <v>131</v>
      </c>
      <c r="I62" s="34" t="s">
        <v>67</v>
      </c>
      <c r="J62" s="34"/>
      <c r="K62" s="63" t="s">
        <v>132</v>
      </c>
      <c r="L62" s="34" t="s">
        <v>64</v>
      </c>
      <c r="M62" s="34"/>
      <c r="N62" s="77" t="s">
        <v>108</v>
      </c>
      <c r="O62" s="34" t="s">
        <v>67</v>
      </c>
      <c r="P62" s="34"/>
      <c r="Q62" s="63" t="s">
        <v>131</v>
      </c>
      <c r="R62" s="34" t="s">
        <v>67</v>
      </c>
      <c r="S62" s="34"/>
      <c r="T62" s="63" t="s">
        <v>131</v>
      </c>
      <c r="U62" s="34" t="s">
        <v>67</v>
      </c>
      <c r="V62" s="34"/>
      <c r="W62" s="81"/>
      <c r="X62" s="41"/>
      <c r="Y62" s="108"/>
      <c r="Z62" s="108"/>
    </row>
    <row r="63" spans="1:26" s="27" customFormat="1" ht="22.05" customHeight="1" thickBot="1" x14ac:dyDescent="0.5">
      <c r="A63" s="26">
        <v>6275</v>
      </c>
      <c r="B63" s="78"/>
      <c r="C63" s="34"/>
      <c r="D63" s="34"/>
      <c r="E63" s="78"/>
      <c r="F63" s="34"/>
      <c r="G63" s="34"/>
      <c r="H63" s="78"/>
      <c r="I63" s="34"/>
      <c r="J63" s="34"/>
      <c r="K63" s="140"/>
      <c r="L63" s="34"/>
      <c r="M63" s="34"/>
      <c r="N63" s="140"/>
      <c r="O63" s="34"/>
      <c r="P63" s="34"/>
      <c r="Q63" s="140"/>
      <c r="R63" s="60"/>
      <c r="S63" s="141"/>
      <c r="T63" s="140"/>
      <c r="U63" s="34"/>
      <c r="V63" s="34"/>
      <c r="W63" s="81"/>
      <c r="X63" s="110"/>
      <c r="Y63" s="108"/>
      <c r="Z63" s="108"/>
    </row>
    <row r="64" spans="1:26" s="27" customFormat="1" ht="22.05" customHeight="1" thickBot="1" x14ac:dyDescent="0.5">
      <c r="A64" s="17" t="s">
        <v>5</v>
      </c>
      <c r="B64" s="77" t="s">
        <v>102</v>
      </c>
      <c r="C64" s="60" t="s">
        <v>64</v>
      </c>
      <c r="D64" s="34" t="s">
        <v>20</v>
      </c>
      <c r="E64" s="77" t="s">
        <v>102</v>
      </c>
      <c r="F64" s="60" t="s">
        <v>64</v>
      </c>
      <c r="G64" s="34" t="s">
        <v>20</v>
      </c>
      <c r="H64" s="77" t="s">
        <v>103</v>
      </c>
      <c r="I64" s="60" t="s">
        <v>64</v>
      </c>
      <c r="J64" s="34" t="s">
        <v>20</v>
      </c>
      <c r="K64" s="77" t="s">
        <v>103</v>
      </c>
      <c r="L64" s="60" t="s">
        <v>64</v>
      </c>
      <c r="M64" s="34" t="s">
        <v>20</v>
      </c>
      <c r="N64" s="142" t="s">
        <v>104</v>
      </c>
      <c r="O64" s="60" t="s">
        <v>79</v>
      </c>
      <c r="P64" s="34" t="s">
        <v>20</v>
      </c>
      <c r="Q64" s="142" t="s">
        <v>105</v>
      </c>
      <c r="R64" s="60" t="s">
        <v>64</v>
      </c>
      <c r="S64" s="34" t="s">
        <v>20</v>
      </c>
      <c r="T64" s="142" t="s">
        <v>105</v>
      </c>
      <c r="U64" s="60" t="s">
        <v>64</v>
      </c>
      <c r="V64" s="34" t="s">
        <v>20</v>
      </c>
      <c r="W64" s="81"/>
      <c r="X64" s="111"/>
    </row>
    <row r="65" spans="1:26" s="27" customFormat="1" ht="22.05" customHeight="1" thickBot="1" x14ac:dyDescent="0.5">
      <c r="A65" s="24" t="s">
        <v>31</v>
      </c>
      <c r="B65" s="143" t="s">
        <v>95</v>
      </c>
      <c r="C65" s="60" t="s">
        <v>67</v>
      </c>
      <c r="D65" s="34" t="s">
        <v>21</v>
      </c>
      <c r="E65" s="78" t="s">
        <v>138</v>
      </c>
      <c r="F65" s="60" t="s">
        <v>67</v>
      </c>
      <c r="G65" s="34" t="s">
        <v>21</v>
      </c>
      <c r="H65" s="142" t="s">
        <v>98</v>
      </c>
      <c r="I65" s="60" t="s">
        <v>67</v>
      </c>
      <c r="J65" s="34" t="s">
        <v>21</v>
      </c>
      <c r="K65" s="179"/>
      <c r="L65" s="60" t="s">
        <v>67</v>
      </c>
      <c r="M65" s="34" t="s">
        <v>21</v>
      </c>
      <c r="N65" s="142" t="s">
        <v>105</v>
      </c>
      <c r="O65" s="60" t="s">
        <v>79</v>
      </c>
      <c r="P65" s="34" t="s">
        <v>21</v>
      </c>
      <c r="Q65" s="142" t="s">
        <v>100</v>
      </c>
      <c r="R65" s="60" t="s">
        <v>79</v>
      </c>
      <c r="S65" s="34" t="s">
        <v>21</v>
      </c>
      <c r="T65" s="142" t="s">
        <v>100</v>
      </c>
      <c r="U65" s="60" t="s">
        <v>79</v>
      </c>
      <c r="V65" s="34" t="s">
        <v>21</v>
      </c>
      <c r="W65" s="81"/>
    </row>
    <row r="66" spans="1:26" s="27" customFormat="1" ht="22.05" customHeight="1" thickBot="1" x14ac:dyDescent="0.5">
      <c r="A66" s="21"/>
      <c r="B66" s="143"/>
      <c r="C66" s="60"/>
      <c r="D66" s="34"/>
      <c r="E66" s="78"/>
      <c r="F66" s="60"/>
      <c r="G66" s="34"/>
      <c r="H66" s="142"/>
      <c r="I66" s="60"/>
      <c r="J66" s="34"/>
      <c r="K66" s="143"/>
      <c r="L66" s="60"/>
      <c r="M66" s="34"/>
      <c r="N66" s="180"/>
      <c r="O66" s="60" t="s">
        <v>145</v>
      </c>
      <c r="P66" s="34"/>
      <c r="Q66" s="78"/>
      <c r="R66" s="60"/>
      <c r="S66" s="34"/>
      <c r="T66" s="78"/>
      <c r="U66" s="60"/>
      <c r="V66" s="34"/>
      <c r="W66" s="81"/>
    </row>
    <row r="67" spans="1:26" s="27" customFormat="1" ht="22.05" customHeight="1" thickBot="1" x14ac:dyDescent="0.5">
      <c r="A67" s="24" t="s">
        <v>32</v>
      </c>
      <c r="B67" s="143" t="s">
        <v>105</v>
      </c>
      <c r="C67" s="60" t="s">
        <v>64</v>
      </c>
      <c r="D67" s="34" t="s">
        <v>22</v>
      </c>
      <c r="E67" s="143" t="s">
        <v>100</v>
      </c>
      <c r="F67" s="60" t="s">
        <v>64</v>
      </c>
      <c r="G67" s="34" t="s">
        <v>22</v>
      </c>
      <c r="H67" s="171" t="s">
        <v>100</v>
      </c>
      <c r="I67" s="60" t="s">
        <v>64</v>
      </c>
      <c r="J67" s="34" t="s">
        <v>22</v>
      </c>
      <c r="K67" s="229" t="s">
        <v>154</v>
      </c>
      <c r="L67" s="60" t="s">
        <v>71</v>
      </c>
      <c r="M67" s="34" t="s">
        <v>22</v>
      </c>
      <c r="N67" s="79" t="s">
        <v>106</v>
      </c>
      <c r="O67" s="60" t="s">
        <v>64</v>
      </c>
      <c r="P67" s="34" t="s">
        <v>22</v>
      </c>
      <c r="Q67" s="143" t="s">
        <v>97</v>
      </c>
      <c r="R67" s="60" t="s">
        <v>64</v>
      </c>
      <c r="S67" s="34" t="s">
        <v>22</v>
      </c>
      <c r="T67" s="143" t="s">
        <v>97</v>
      </c>
      <c r="U67" s="60" t="s">
        <v>64</v>
      </c>
      <c r="V67" s="34" t="s">
        <v>22</v>
      </c>
      <c r="W67" s="81"/>
    </row>
    <row r="68" spans="1:26" s="27" customFormat="1" ht="22.05" customHeight="1" thickBot="1" x14ac:dyDescent="0.5">
      <c r="A68" s="198"/>
      <c r="B68" s="172" t="s">
        <v>106</v>
      </c>
      <c r="C68" s="60" t="s">
        <v>67</v>
      </c>
      <c r="D68" s="34" t="s">
        <v>23</v>
      </c>
      <c r="E68" s="172" t="s">
        <v>106</v>
      </c>
      <c r="F68" s="60" t="s">
        <v>67</v>
      </c>
      <c r="G68" s="34" t="s">
        <v>23</v>
      </c>
      <c r="H68" s="78" t="s">
        <v>136</v>
      </c>
      <c r="I68" s="60" t="s">
        <v>66</v>
      </c>
      <c r="J68" s="34" t="s">
        <v>23</v>
      </c>
      <c r="K68" s="143" t="s">
        <v>95</v>
      </c>
      <c r="L68" s="60" t="s">
        <v>67</v>
      </c>
      <c r="M68" s="34" t="s">
        <v>23</v>
      </c>
      <c r="N68" s="143" t="s">
        <v>95</v>
      </c>
      <c r="O68" s="60" t="s">
        <v>67</v>
      </c>
      <c r="P68" s="34" t="s">
        <v>23</v>
      </c>
      <c r="Q68" s="78" t="s">
        <v>102</v>
      </c>
      <c r="R68" s="60" t="s">
        <v>67</v>
      </c>
      <c r="S68" s="34" t="s">
        <v>23</v>
      </c>
      <c r="T68" s="78" t="s">
        <v>102</v>
      </c>
      <c r="U68" s="60" t="s">
        <v>67</v>
      </c>
      <c r="V68" s="34" t="s">
        <v>23</v>
      </c>
      <c r="W68" s="81"/>
    </row>
    <row r="69" spans="1:26" s="27" customFormat="1" ht="22.05" customHeight="1" thickBot="1" x14ac:dyDescent="0.5">
      <c r="A69" s="198"/>
      <c r="B69" s="143"/>
      <c r="C69" s="60"/>
      <c r="D69" s="34"/>
      <c r="E69" s="143"/>
      <c r="F69" s="60"/>
      <c r="G69" s="34"/>
      <c r="H69" s="143"/>
      <c r="I69" s="60"/>
      <c r="J69" s="34"/>
      <c r="K69" s="143"/>
      <c r="L69" s="60"/>
      <c r="M69" s="34"/>
      <c r="N69" s="143"/>
      <c r="O69" s="60"/>
      <c r="P69" s="34"/>
      <c r="Q69" s="78"/>
      <c r="R69" s="60"/>
      <c r="S69" s="34"/>
      <c r="T69" s="78"/>
      <c r="U69" s="60"/>
      <c r="V69" s="34"/>
      <c r="W69" s="81"/>
    </row>
    <row r="70" spans="1:26" s="27" customFormat="1" ht="22.05" customHeight="1" thickBot="1" x14ac:dyDescent="0.5">
      <c r="A70" s="199"/>
      <c r="B70" s="46" t="s">
        <v>138</v>
      </c>
      <c r="C70" s="21" t="s">
        <v>65</v>
      </c>
      <c r="D70" s="34"/>
      <c r="E70" s="78" t="s">
        <v>96</v>
      </c>
      <c r="F70" s="21" t="s">
        <v>65</v>
      </c>
      <c r="G70" s="34"/>
      <c r="H70" s="150" t="s">
        <v>138</v>
      </c>
      <c r="I70" s="21" t="s">
        <v>65</v>
      </c>
      <c r="J70" s="34"/>
      <c r="K70" s="79" t="s">
        <v>96</v>
      </c>
      <c r="L70" s="21" t="s">
        <v>65</v>
      </c>
      <c r="M70" s="34"/>
      <c r="N70" s="177" t="s">
        <v>146</v>
      </c>
      <c r="O70" s="34" t="s">
        <v>65</v>
      </c>
      <c r="P70" s="34"/>
      <c r="Q70" s="78" t="s">
        <v>138</v>
      </c>
      <c r="R70" s="21" t="s">
        <v>76</v>
      </c>
      <c r="S70" s="34"/>
      <c r="T70" s="143" t="s">
        <v>138</v>
      </c>
      <c r="U70" s="21" t="s">
        <v>65</v>
      </c>
      <c r="V70" s="34"/>
      <c r="W70" s="81"/>
    </row>
    <row r="71" spans="1:26" s="27" customFormat="1" ht="22.05" customHeight="1" thickBot="1" x14ac:dyDescent="0.5">
      <c r="A71" s="224" t="s">
        <v>34</v>
      </c>
      <c r="B71" s="170" t="s">
        <v>141</v>
      </c>
      <c r="C71" s="34" t="s">
        <v>79</v>
      </c>
      <c r="D71" s="34"/>
      <c r="E71" s="170" t="s">
        <v>141</v>
      </c>
      <c r="F71" s="34" t="s">
        <v>79</v>
      </c>
      <c r="G71" s="34"/>
      <c r="H71" s="170" t="s">
        <v>141</v>
      </c>
      <c r="I71" s="34" t="s">
        <v>71</v>
      </c>
      <c r="J71" s="34"/>
      <c r="K71" s="170" t="s">
        <v>141</v>
      </c>
      <c r="L71" s="34" t="s">
        <v>65</v>
      </c>
      <c r="M71" s="34"/>
      <c r="N71" s="170" t="s">
        <v>141</v>
      </c>
      <c r="O71" s="34" t="s">
        <v>71</v>
      </c>
      <c r="P71" s="34"/>
      <c r="Q71" s="63"/>
      <c r="R71" s="34"/>
      <c r="S71" s="34"/>
      <c r="T71" s="63"/>
      <c r="U71" s="34"/>
      <c r="V71" s="34"/>
      <c r="W71" s="105"/>
    </row>
    <row r="72" spans="1:26" s="27" customFormat="1" ht="22.05" customHeight="1" thickBot="1" x14ac:dyDescent="0.5">
      <c r="A72" s="225"/>
      <c r="B72" s="144"/>
      <c r="C72" s="17"/>
      <c r="D72" s="17"/>
      <c r="E72" s="81"/>
      <c r="F72" s="17"/>
      <c r="G72" s="17"/>
      <c r="H72" s="81"/>
      <c r="I72" s="17"/>
      <c r="J72" s="17"/>
      <c r="K72" s="81"/>
      <c r="L72" s="17"/>
      <c r="M72" s="17"/>
      <c r="N72" s="81"/>
      <c r="O72" s="17"/>
      <c r="P72" s="17"/>
      <c r="Q72" s="81"/>
      <c r="R72" s="17"/>
      <c r="S72" s="17"/>
      <c r="T72" s="81"/>
      <c r="U72" s="17"/>
      <c r="V72" s="17"/>
      <c r="W72" s="81"/>
    </row>
    <row r="73" spans="1:26" s="27" customFormat="1" ht="22.05" customHeight="1" thickBot="1" x14ac:dyDescent="0.5">
      <c r="A73" s="48" t="s">
        <v>33</v>
      </c>
      <c r="B73" s="49" t="s">
        <v>149</v>
      </c>
      <c r="C73" s="50" t="s">
        <v>66</v>
      </c>
      <c r="D73" s="50"/>
      <c r="E73" s="49" t="s">
        <v>149</v>
      </c>
      <c r="F73" s="50" t="s">
        <v>66</v>
      </c>
      <c r="G73" s="50"/>
      <c r="H73" s="49" t="s">
        <v>149</v>
      </c>
      <c r="I73" s="50" t="s">
        <v>66</v>
      </c>
      <c r="J73" s="50"/>
      <c r="K73" s="49" t="s">
        <v>149</v>
      </c>
      <c r="L73" s="50" t="s">
        <v>66</v>
      </c>
      <c r="M73" s="50"/>
      <c r="N73" s="49" t="s">
        <v>149</v>
      </c>
      <c r="O73" s="50" t="s">
        <v>66</v>
      </c>
      <c r="P73" s="50"/>
      <c r="Q73" s="49"/>
      <c r="R73" s="50"/>
      <c r="S73" s="50"/>
      <c r="T73" s="49"/>
      <c r="U73" s="50"/>
      <c r="V73" s="50"/>
      <c r="W73" s="106"/>
    </row>
    <row r="74" spans="1:26" s="27" customFormat="1" ht="22.05" customHeight="1" x14ac:dyDescent="0.45">
      <c r="A74" s="222" t="s">
        <v>35</v>
      </c>
      <c r="B74" s="51"/>
      <c r="C74" s="184" t="s">
        <v>69</v>
      </c>
      <c r="D74" s="185"/>
      <c r="E74" s="51"/>
      <c r="F74" s="184" t="s">
        <v>69</v>
      </c>
      <c r="G74" s="185"/>
      <c r="H74" s="52"/>
      <c r="I74" s="184" t="s">
        <v>69</v>
      </c>
      <c r="J74" s="185"/>
      <c r="K74" s="51"/>
      <c r="L74" s="184" t="s">
        <v>69</v>
      </c>
      <c r="M74" s="185"/>
      <c r="N74" s="51"/>
      <c r="O74" s="184" t="s">
        <v>69</v>
      </c>
      <c r="P74" s="185"/>
      <c r="Q74" s="52"/>
      <c r="R74" s="184" t="s">
        <v>69</v>
      </c>
      <c r="S74" s="185"/>
      <c r="T74" s="51"/>
      <c r="U74" s="184" t="s">
        <v>69</v>
      </c>
      <c r="V74" s="185"/>
      <c r="W74" s="80"/>
      <c r="X74" s="81"/>
    </row>
    <row r="75" spans="1:26" s="27" customFormat="1" ht="22.05" customHeight="1" thickBot="1" x14ac:dyDescent="0.5">
      <c r="A75" s="223"/>
      <c r="B75" s="68"/>
      <c r="C75" s="226" t="s">
        <v>36</v>
      </c>
      <c r="D75" s="227"/>
      <c r="E75" s="69"/>
      <c r="F75" s="226" t="s">
        <v>36</v>
      </c>
      <c r="G75" s="227"/>
      <c r="H75" s="69"/>
      <c r="I75" s="226" t="s">
        <v>36</v>
      </c>
      <c r="J75" s="227"/>
      <c r="K75" s="69"/>
      <c r="L75" s="226" t="s">
        <v>36</v>
      </c>
      <c r="M75" s="227"/>
      <c r="N75" s="69"/>
      <c r="O75" s="226" t="s">
        <v>36</v>
      </c>
      <c r="P75" s="227"/>
      <c r="Q75" s="69"/>
      <c r="R75" s="226" t="s">
        <v>36</v>
      </c>
      <c r="S75" s="227"/>
      <c r="T75" s="69"/>
      <c r="U75" s="226" t="s">
        <v>36</v>
      </c>
      <c r="V75" s="227"/>
      <c r="W75" s="109"/>
      <c r="X75" s="81"/>
    </row>
    <row r="76" spans="1:26" ht="22.05" customHeight="1" x14ac:dyDescent="0.35">
      <c r="A76" s="2"/>
    </row>
    <row r="77" spans="1:26" ht="38.25" customHeight="1" thickBot="1" x14ac:dyDescent="0.35">
      <c r="A77" s="119" t="s">
        <v>38</v>
      </c>
      <c r="B77" s="82">
        <f>(N1)</f>
        <v>46097</v>
      </c>
      <c r="C77" s="83" t="s">
        <v>2</v>
      </c>
      <c r="D77" s="83" t="s">
        <v>3</v>
      </c>
      <c r="E77" s="82">
        <f>(N1)+1</f>
        <v>46098</v>
      </c>
      <c r="F77" s="83" t="s">
        <v>2</v>
      </c>
      <c r="G77" s="83" t="s">
        <v>3</v>
      </c>
      <c r="H77" s="82">
        <f>(N1)+2</f>
        <v>46099</v>
      </c>
      <c r="I77" s="83" t="s">
        <v>2</v>
      </c>
      <c r="J77" s="83" t="s">
        <v>3</v>
      </c>
      <c r="K77" s="82">
        <f>(N1)+3</f>
        <v>46100</v>
      </c>
      <c r="L77" s="83" t="s">
        <v>2</v>
      </c>
      <c r="M77" s="83" t="s">
        <v>3</v>
      </c>
      <c r="N77" s="82">
        <f>(N1)+4</f>
        <v>46101</v>
      </c>
      <c r="O77" s="83" t="s">
        <v>2</v>
      </c>
      <c r="P77" s="83" t="s">
        <v>3</v>
      </c>
      <c r="Q77" s="82">
        <f>(N1)+5</f>
        <v>46102</v>
      </c>
      <c r="R77" s="83" t="s">
        <v>2</v>
      </c>
      <c r="S77" s="84" t="s">
        <v>3</v>
      </c>
      <c r="T77" s="82">
        <f>(N1)+6</f>
        <v>46103</v>
      </c>
      <c r="U77" s="83" t="s">
        <v>2</v>
      </c>
      <c r="V77" s="85" t="s">
        <v>3</v>
      </c>
      <c r="W77" s="9"/>
      <c r="X77" s="13"/>
      <c r="Y77" s="12"/>
      <c r="Z77" s="12"/>
    </row>
    <row r="78" spans="1:26" s="27" customFormat="1" ht="22.05" customHeight="1" thickTop="1" thickBot="1" x14ac:dyDescent="0.5">
      <c r="A78" s="112" t="s">
        <v>70</v>
      </c>
      <c r="B78" s="123" t="s">
        <v>124</v>
      </c>
      <c r="C78" s="34" t="s">
        <v>67</v>
      </c>
      <c r="D78" s="34"/>
      <c r="E78" s="163" t="s">
        <v>124</v>
      </c>
      <c r="F78" s="60" t="s">
        <v>64</v>
      </c>
      <c r="G78" s="34"/>
      <c r="H78" s="74" t="s">
        <v>120</v>
      </c>
      <c r="I78" s="34" t="s">
        <v>64</v>
      </c>
      <c r="J78" s="34"/>
      <c r="K78" s="36" t="s">
        <v>108</v>
      </c>
      <c r="L78" s="34" t="s">
        <v>67</v>
      </c>
      <c r="M78" s="34"/>
      <c r="N78" s="74"/>
      <c r="O78" s="34" t="s">
        <v>66</v>
      </c>
      <c r="P78" s="34"/>
      <c r="Q78" s="113" t="s">
        <v>133</v>
      </c>
      <c r="R78" s="34" t="s">
        <v>64</v>
      </c>
      <c r="S78" s="34"/>
      <c r="T78" s="113" t="s">
        <v>133</v>
      </c>
      <c r="U78" s="34" t="s">
        <v>64</v>
      </c>
      <c r="V78" s="34"/>
      <c r="W78" s="81"/>
      <c r="X78" s="41"/>
      <c r="Y78" s="108"/>
      <c r="Z78" s="108"/>
    </row>
    <row r="79" spans="1:26" s="27" customFormat="1" ht="22.05" customHeight="1" thickBot="1" x14ac:dyDescent="0.5">
      <c r="A79" s="24">
        <v>6272</v>
      </c>
      <c r="B79" s="75"/>
      <c r="C79" s="34"/>
      <c r="D79" s="34"/>
      <c r="E79" s="76"/>
      <c r="F79" s="34"/>
      <c r="G79" s="34"/>
      <c r="H79" s="76"/>
      <c r="I79" s="34"/>
      <c r="J79" s="34"/>
      <c r="K79" s="76"/>
      <c r="L79" s="34"/>
      <c r="M79" s="34"/>
      <c r="N79" s="76"/>
      <c r="O79" s="34"/>
      <c r="P79" s="34"/>
      <c r="Q79" s="76"/>
      <c r="R79" s="34"/>
      <c r="S79" s="34"/>
      <c r="T79" s="76"/>
      <c r="U79" s="34"/>
      <c r="V79" s="34"/>
      <c r="W79" s="107"/>
      <c r="X79" s="41"/>
      <c r="Y79" s="108"/>
      <c r="Z79" s="108"/>
    </row>
    <row r="80" spans="1:26" s="27" customFormat="1" ht="22.05" customHeight="1" thickBot="1" x14ac:dyDescent="0.5">
      <c r="A80" s="17" t="s">
        <v>5</v>
      </c>
      <c r="B80" s="77" t="s">
        <v>107</v>
      </c>
      <c r="C80" s="34" t="s">
        <v>71</v>
      </c>
      <c r="D80" s="34"/>
      <c r="E80" s="77" t="s">
        <v>107</v>
      </c>
      <c r="F80" s="34" t="s">
        <v>71</v>
      </c>
      <c r="G80" s="34"/>
      <c r="H80" s="77" t="s">
        <v>108</v>
      </c>
      <c r="I80" s="34" t="s">
        <v>71</v>
      </c>
      <c r="J80" s="34"/>
      <c r="K80" s="77" t="s">
        <v>144</v>
      </c>
      <c r="L80" s="34" t="s">
        <v>71</v>
      </c>
      <c r="M80" s="34"/>
      <c r="N80" s="77" t="s">
        <v>108</v>
      </c>
      <c r="O80" s="34" t="s">
        <v>71</v>
      </c>
      <c r="P80" s="34"/>
      <c r="Q80" s="77" t="s">
        <v>107</v>
      </c>
      <c r="R80" s="34" t="s">
        <v>71</v>
      </c>
      <c r="S80" s="34"/>
      <c r="T80" s="77" t="s">
        <v>107</v>
      </c>
      <c r="U80" s="34" t="s">
        <v>71</v>
      </c>
      <c r="V80" s="34"/>
      <c r="W80" s="81"/>
      <c r="X80" s="111"/>
    </row>
    <row r="81" spans="1:24" s="27" customFormat="1" ht="22.05" customHeight="1" thickBot="1" x14ac:dyDescent="0.5">
      <c r="A81" s="24">
        <v>6273</v>
      </c>
      <c r="B81" s="39"/>
      <c r="C81" s="17"/>
      <c r="D81" s="17"/>
      <c r="E81" s="39"/>
      <c r="F81" s="17"/>
      <c r="G81" s="17"/>
      <c r="H81" s="39"/>
      <c r="I81" s="17"/>
      <c r="J81" s="17"/>
      <c r="K81" s="39"/>
      <c r="L81" s="17"/>
      <c r="M81" s="17"/>
      <c r="N81" s="39"/>
      <c r="O81" s="17"/>
      <c r="P81" s="17"/>
      <c r="Q81" s="114"/>
      <c r="R81" s="17"/>
      <c r="S81" s="17"/>
      <c r="T81" s="114"/>
      <c r="U81" s="17"/>
      <c r="V81" s="17"/>
      <c r="W81" s="81"/>
    </row>
    <row r="82" spans="1:24" s="27" customFormat="1" ht="22.05" customHeight="1" thickBot="1" x14ac:dyDescent="0.5">
      <c r="A82" s="86" t="s">
        <v>35</v>
      </c>
      <c r="B82" s="87"/>
      <c r="C82" s="216" t="s">
        <v>36</v>
      </c>
      <c r="D82" s="217"/>
      <c r="E82" s="88"/>
      <c r="F82" s="216" t="s">
        <v>36</v>
      </c>
      <c r="G82" s="217"/>
      <c r="H82" s="88"/>
      <c r="I82" s="216" t="s">
        <v>36</v>
      </c>
      <c r="J82" s="217"/>
      <c r="K82" s="88"/>
      <c r="L82" s="216" t="s">
        <v>36</v>
      </c>
      <c r="M82" s="217"/>
      <c r="N82" s="88"/>
      <c r="O82" s="216" t="s">
        <v>36</v>
      </c>
      <c r="P82" s="217"/>
      <c r="Q82" s="88"/>
      <c r="R82" s="216" t="s">
        <v>36</v>
      </c>
      <c r="S82" s="217"/>
      <c r="T82" s="88"/>
      <c r="U82" s="216" t="s">
        <v>36</v>
      </c>
      <c r="V82" s="217"/>
      <c r="W82" s="109"/>
      <c r="X82" s="81"/>
    </row>
    <row r="83" spans="1:24" ht="15" customHeight="1" thickBot="1" x14ac:dyDescent="0.4">
      <c r="A83" s="2"/>
    </row>
    <row r="84" spans="1:24" ht="38.25" customHeight="1" thickBot="1" x14ac:dyDescent="0.35">
      <c r="A84" s="118" t="s">
        <v>9</v>
      </c>
      <c r="B84" s="89">
        <f>(N1)</f>
        <v>46097</v>
      </c>
      <c r="C84" s="90" t="s">
        <v>2</v>
      </c>
      <c r="D84" s="90" t="s">
        <v>3</v>
      </c>
      <c r="E84" s="91">
        <f>(N1)+1</f>
        <v>46098</v>
      </c>
      <c r="F84" s="90" t="s">
        <v>2</v>
      </c>
      <c r="G84" s="90" t="s">
        <v>3</v>
      </c>
      <c r="H84" s="91">
        <f>(N1)+2</f>
        <v>46099</v>
      </c>
      <c r="I84" s="90" t="s">
        <v>2</v>
      </c>
      <c r="J84" s="90" t="s">
        <v>3</v>
      </c>
      <c r="K84" s="91">
        <f>(N1)+3</f>
        <v>46100</v>
      </c>
      <c r="L84" s="90" t="s">
        <v>2</v>
      </c>
      <c r="M84" s="90" t="s">
        <v>3</v>
      </c>
      <c r="N84" s="91">
        <f>(N1)+4</f>
        <v>46101</v>
      </c>
      <c r="O84" s="90" t="s">
        <v>2</v>
      </c>
      <c r="P84" s="90" t="s">
        <v>3</v>
      </c>
      <c r="Q84" s="91">
        <f>(N1)+5</f>
        <v>46102</v>
      </c>
      <c r="R84" s="90" t="s">
        <v>2</v>
      </c>
      <c r="S84" s="90" t="s">
        <v>3</v>
      </c>
      <c r="T84" s="91">
        <f>(N1)+6</f>
        <v>46103</v>
      </c>
      <c r="U84" s="90" t="s">
        <v>2</v>
      </c>
      <c r="V84" s="90" t="s">
        <v>3</v>
      </c>
      <c r="W84" s="10"/>
    </row>
    <row r="85" spans="1:24" s="27" customFormat="1" ht="22.05" customHeight="1" thickBot="1" x14ac:dyDescent="0.5">
      <c r="A85" s="17" t="s">
        <v>1</v>
      </c>
      <c r="B85" s="92" t="s">
        <v>109</v>
      </c>
      <c r="C85" s="34"/>
      <c r="D85" s="34"/>
      <c r="E85" s="63" t="s">
        <v>110</v>
      </c>
      <c r="F85" s="34"/>
      <c r="G85" s="34"/>
      <c r="H85" s="63" t="s">
        <v>110</v>
      </c>
      <c r="I85" s="34"/>
      <c r="J85" s="34"/>
      <c r="K85" s="63" t="s">
        <v>110</v>
      </c>
      <c r="L85" s="34"/>
      <c r="M85" s="34"/>
      <c r="N85" s="92" t="s">
        <v>109</v>
      </c>
      <c r="O85" s="34"/>
      <c r="P85" s="34"/>
      <c r="Q85" s="92" t="s">
        <v>109</v>
      </c>
      <c r="R85" s="34"/>
      <c r="S85" s="34"/>
      <c r="T85" s="92" t="s">
        <v>109</v>
      </c>
      <c r="U85" s="34"/>
      <c r="V85" s="34"/>
      <c r="W85" s="105"/>
    </row>
    <row r="86" spans="1:24" s="27" customFormat="1" ht="22.05" customHeight="1" thickBot="1" x14ac:dyDescent="0.5">
      <c r="A86" s="197" t="s">
        <v>5</v>
      </c>
      <c r="B86" s="93" t="s">
        <v>101</v>
      </c>
      <c r="C86" s="34"/>
      <c r="D86" s="34"/>
      <c r="E86" s="93" t="s">
        <v>101</v>
      </c>
      <c r="F86" s="34"/>
      <c r="G86" s="34"/>
      <c r="H86" s="63" t="s">
        <v>112</v>
      </c>
      <c r="I86" s="34"/>
      <c r="J86" s="34"/>
      <c r="K86" s="63" t="s">
        <v>112</v>
      </c>
      <c r="L86" s="34"/>
      <c r="M86" s="34"/>
      <c r="N86" s="63" t="s">
        <v>112</v>
      </c>
      <c r="O86" s="34"/>
      <c r="P86" s="34"/>
      <c r="Q86" s="93" t="s">
        <v>134</v>
      </c>
      <c r="R86" s="34"/>
      <c r="S86" s="34"/>
      <c r="T86" s="93" t="s">
        <v>134</v>
      </c>
      <c r="U86" s="34"/>
      <c r="V86" s="34"/>
      <c r="W86" s="105"/>
    </row>
    <row r="87" spans="1:24" s="27" customFormat="1" ht="22.05" customHeight="1" thickBot="1" x14ac:dyDescent="0.5">
      <c r="A87" s="198"/>
      <c r="B87" s="78" t="s">
        <v>134</v>
      </c>
      <c r="C87" s="34"/>
      <c r="D87" s="34"/>
      <c r="E87" s="78" t="s">
        <v>88</v>
      </c>
      <c r="F87" s="34"/>
      <c r="G87" s="34"/>
      <c r="H87" s="78" t="s">
        <v>101</v>
      </c>
      <c r="I87" s="34"/>
      <c r="J87" s="34"/>
      <c r="K87" s="115" t="s">
        <v>111</v>
      </c>
      <c r="L87" s="34"/>
      <c r="M87" s="34"/>
      <c r="N87" s="115" t="s">
        <v>111</v>
      </c>
      <c r="O87" s="94"/>
      <c r="P87" s="34"/>
      <c r="Q87" s="115" t="s">
        <v>111</v>
      </c>
      <c r="R87" s="94"/>
      <c r="S87" s="34"/>
      <c r="T87" s="115" t="s">
        <v>111</v>
      </c>
      <c r="U87" s="34"/>
      <c r="V87" s="34"/>
      <c r="W87" s="81"/>
    </row>
    <row r="88" spans="1:24" s="27" customFormat="1" ht="22.05" customHeight="1" thickBot="1" x14ac:dyDescent="0.5">
      <c r="A88" s="34" t="s">
        <v>8</v>
      </c>
      <c r="B88" s="116"/>
      <c r="C88" s="34"/>
      <c r="D88" s="34"/>
      <c r="E88" s="116"/>
      <c r="F88" s="34"/>
      <c r="G88" s="34"/>
      <c r="H88" s="116"/>
      <c r="I88" s="34"/>
      <c r="J88" s="34"/>
      <c r="K88" s="116"/>
      <c r="L88" s="34"/>
      <c r="M88" s="34"/>
      <c r="N88" s="116"/>
      <c r="O88" s="34"/>
      <c r="P88" s="34"/>
      <c r="Q88" s="116"/>
      <c r="R88" s="34"/>
      <c r="S88" s="34"/>
      <c r="T88" s="116"/>
      <c r="U88" s="34"/>
      <c r="V88" s="34"/>
      <c r="W88" s="117"/>
    </row>
  </sheetData>
  <mergeCells count="118">
    <mergeCell ref="Y21:Y24"/>
    <mergeCell ref="O74:P74"/>
    <mergeCell ref="R74:S74"/>
    <mergeCell ref="U74:V74"/>
    <mergeCell ref="O55:P55"/>
    <mergeCell ref="O56:P56"/>
    <mergeCell ref="Y40:Y44"/>
    <mergeCell ref="R56:S56"/>
    <mergeCell ref="U56:V56"/>
    <mergeCell ref="I37:J37"/>
    <mergeCell ref="L37:M37"/>
    <mergeCell ref="O37:P37"/>
    <mergeCell ref="Z43:Z44"/>
    <mergeCell ref="R55:S55"/>
    <mergeCell ref="U55:V55"/>
    <mergeCell ref="R37:S37"/>
    <mergeCell ref="U37:V37"/>
    <mergeCell ref="I75:J75"/>
    <mergeCell ref="L75:M75"/>
    <mergeCell ref="O75:P75"/>
    <mergeCell ref="R75:S75"/>
    <mergeCell ref="R82:S82"/>
    <mergeCell ref="U82:V82"/>
    <mergeCell ref="U75:V75"/>
    <mergeCell ref="F75:G75"/>
    <mergeCell ref="A71:A72"/>
    <mergeCell ref="A68:A70"/>
    <mergeCell ref="A21:A22"/>
    <mergeCell ref="C55:D55"/>
    <mergeCell ref="F55:G55"/>
    <mergeCell ref="I55:J55"/>
    <mergeCell ref="L55:M55"/>
    <mergeCell ref="A74:A75"/>
    <mergeCell ref="C74:D74"/>
    <mergeCell ref="F74:G74"/>
    <mergeCell ref="I74:J74"/>
    <mergeCell ref="L74:M74"/>
    <mergeCell ref="C56:D56"/>
    <mergeCell ref="F56:G56"/>
    <mergeCell ref="I56:J56"/>
    <mergeCell ref="L56:M56"/>
    <mergeCell ref="C75:D75"/>
    <mergeCell ref="C36:D36"/>
    <mergeCell ref="F36:G36"/>
    <mergeCell ref="I36:J36"/>
    <mergeCell ref="A86:A87"/>
    <mergeCell ref="A1:B1"/>
    <mergeCell ref="A10:A11"/>
    <mergeCell ref="A8:P8"/>
    <mergeCell ref="A9:P9"/>
    <mergeCell ref="C82:D82"/>
    <mergeCell ref="F82:G82"/>
    <mergeCell ref="I82:J82"/>
    <mergeCell ref="L82:M82"/>
    <mergeCell ref="O82:P82"/>
    <mergeCell ref="C1:K1"/>
    <mergeCell ref="O1:P1"/>
    <mergeCell ref="L1:M1"/>
    <mergeCell ref="C4:D4"/>
    <mergeCell ref="A59:A60"/>
    <mergeCell ref="A36:A37"/>
    <mergeCell ref="A52:A53"/>
    <mergeCell ref="A49:A50"/>
    <mergeCell ref="A55:A56"/>
    <mergeCell ref="A33:A34"/>
    <mergeCell ref="A30:A32"/>
    <mergeCell ref="A40:A41"/>
    <mergeCell ref="C37:D37"/>
    <mergeCell ref="F37:G37"/>
    <mergeCell ref="C10:D10"/>
    <mergeCell ref="C11:D11"/>
    <mergeCell ref="C12:D12"/>
    <mergeCell ref="C13:D13"/>
    <mergeCell ref="F10:G10"/>
    <mergeCell ref="F11:G11"/>
    <mergeCell ref="F12:G12"/>
    <mergeCell ref="F13:G13"/>
    <mergeCell ref="I10:J10"/>
    <mergeCell ref="I11:J11"/>
    <mergeCell ref="I12:J12"/>
    <mergeCell ref="I13:J13"/>
    <mergeCell ref="A4:A5"/>
    <mergeCell ref="F4:G4"/>
    <mergeCell ref="I4:J4"/>
    <mergeCell ref="L4:M4"/>
    <mergeCell ref="O4:P4"/>
    <mergeCell ref="I5:J5"/>
    <mergeCell ref="L5:M5"/>
    <mergeCell ref="C7:D7"/>
    <mergeCell ref="C3:D3"/>
    <mergeCell ref="F3:G3"/>
    <mergeCell ref="F7:G7"/>
    <mergeCell ref="F5:G5"/>
    <mergeCell ref="C5:D5"/>
    <mergeCell ref="I7:J7"/>
    <mergeCell ref="L7:M7"/>
    <mergeCell ref="O7:P7"/>
    <mergeCell ref="L36:M36"/>
    <mergeCell ref="O36:P36"/>
    <mergeCell ref="R36:S36"/>
    <mergeCell ref="U36:V36"/>
    <mergeCell ref="I3:J3"/>
    <mergeCell ref="L3:M3"/>
    <mergeCell ref="O3:P3"/>
    <mergeCell ref="U7:V7"/>
    <mergeCell ref="R8:S13"/>
    <mergeCell ref="U8:V13"/>
    <mergeCell ref="Q8:Q13"/>
    <mergeCell ref="T8:T13"/>
    <mergeCell ref="R7:S7"/>
    <mergeCell ref="L10:M10"/>
    <mergeCell ref="L11:M11"/>
    <mergeCell ref="L12:M12"/>
    <mergeCell ref="L13:M13"/>
    <mergeCell ref="O10:P10"/>
    <mergeCell ref="O11:P11"/>
    <mergeCell ref="O12:P12"/>
    <mergeCell ref="O13:P13"/>
  </mergeCells>
  <phoneticPr fontId="5" type="noConversion"/>
  <pageMargins left="0.25" right="0.6" top="0.75" bottom="0.75" header="0.3" footer="0.3"/>
  <pageSetup paperSize="8" scale="37" fitToWidth="0" orientation="landscape" r:id="rId1"/>
  <headerFooter>
    <oddFooter>&amp;R&amp;T&amp;D AM /IA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Sadies</dc:creator>
  <cp:lastModifiedBy>Manon Messerschmidt</cp:lastModifiedBy>
  <cp:lastPrinted>2023-06-01T06:38:30Z</cp:lastPrinted>
  <dcterms:created xsi:type="dcterms:W3CDTF">2021-12-21T08:44:48Z</dcterms:created>
  <dcterms:modified xsi:type="dcterms:W3CDTF">2026-03-13T14:48:21Z</dcterms:modified>
</cp:coreProperties>
</file>